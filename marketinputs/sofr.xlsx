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uinjos\PycharmProjects\TradingDrive\marketinputs\"/>
    </mc:Choice>
  </mc:AlternateContent>
  <xr:revisionPtr revIDLastSave="0" documentId="13_ncr:1_{D6CD06C0-448F-4B1A-800C-73A97D38EB51}" xr6:coauthVersionLast="47" xr6:coauthVersionMax="47" xr10:uidLastSave="{00000000-0000-0000-0000-000000000000}"/>
  <bookViews>
    <workbookView xWindow="-105" yWindow="0" windowWidth="14610" windowHeight="15585" xr2:uid="{0F1D5378-8D08-426E-94AD-186306001CCD}"/>
  </bookViews>
  <sheets>
    <sheet name="Inputs" sheetId="1" r:id="rId1"/>
    <sheet name="SOFR-OIS" sheetId="2" r:id="rId2"/>
    <sheet name="SOFR3" sheetId="3" r:id="rId3"/>
    <sheet name="SOFRHist" sheetId="4" r:id="rId4"/>
    <sheet name="holidays_U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34" i="4" l="1"/>
  <c r="D2" i="1" s="1"/>
  <c r="C1533" i="4"/>
  <c r="D25" i="1"/>
  <c r="D24" i="1"/>
  <c r="D23" i="1"/>
  <c r="D22" i="1"/>
  <c r="D21" i="1"/>
  <c r="D20" i="1"/>
  <c r="D19" i="1"/>
  <c r="D18" i="1"/>
  <c r="D17" i="1"/>
  <c r="D16" i="1"/>
  <c r="D15" i="1"/>
  <c r="D14" i="1"/>
  <c r="B25" i="1"/>
  <c r="B24" i="1"/>
  <c r="B23" i="1"/>
  <c r="B22" i="1"/>
  <c r="B21" i="1"/>
  <c r="B20" i="1"/>
  <c r="B19" i="1"/>
  <c r="B18" i="1"/>
  <c r="B17" i="1"/>
  <c r="B16" i="1"/>
  <c r="B15" i="1"/>
  <c r="B14" i="1"/>
  <c r="C1532" i="4"/>
  <c r="G9" i="1"/>
  <c r="B9" i="1" s="1"/>
  <c r="C1531" i="4"/>
  <c r="D8" i="1"/>
  <c r="D7" i="1"/>
  <c r="D6" i="1"/>
  <c r="D5" i="1"/>
  <c r="D4" i="1"/>
  <c r="D3" i="1"/>
  <c r="B7" i="1"/>
  <c r="B6" i="1"/>
  <c r="B5" i="1"/>
  <c r="B4" i="1"/>
  <c r="B3" i="1"/>
  <c r="B8" i="1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1261" i="4"/>
  <c r="C1262" i="4"/>
  <c r="C1263" i="4"/>
  <c r="C1264" i="4"/>
  <c r="C1265" i="4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/>
  <c r="C1279" i="4"/>
  <c r="C1280" i="4"/>
  <c r="C1281" i="4"/>
  <c r="C1282" i="4"/>
  <c r="C1283" i="4"/>
  <c r="C1284" i="4"/>
  <c r="C1285" i="4"/>
  <c r="C1286" i="4"/>
  <c r="C1287" i="4"/>
  <c r="C1288" i="4"/>
  <c r="C1289" i="4"/>
  <c r="C1290" i="4"/>
  <c r="C1291" i="4"/>
  <c r="C1292" i="4"/>
  <c r="C1293" i="4"/>
  <c r="C1294" i="4"/>
  <c r="C1295" i="4"/>
  <c r="C1296" i="4"/>
  <c r="C1297" i="4"/>
  <c r="C1298" i="4"/>
  <c r="C1299" i="4"/>
  <c r="C1300" i="4"/>
  <c r="C1301" i="4"/>
  <c r="C1302" i="4"/>
  <c r="C1303" i="4"/>
  <c r="C1304" i="4"/>
  <c r="C1305" i="4"/>
  <c r="C1306" i="4"/>
  <c r="C1307" i="4"/>
  <c r="C1308" i="4"/>
  <c r="C1309" i="4"/>
  <c r="C1310" i="4"/>
  <c r="C1311" i="4"/>
  <c r="C1312" i="4"/>
  <c r="C1313" i="4"/>
  <c r="C1314" i="4"/>
  <c r="C1315" i="4"/>
  <c r="C1316" i="4"/>
  <c r="C1317" i="4"/>
  <c r="C1318" i="4"/>
  <c r="C1319" i="4"/>
  <c r="C1320" i="4"/>
  <c r="C1321" i="4"/>
  <c r="C1322" i="4"/>
  <c r="C1323" i="4"/>
  <c r="C1324" i="4"/>
  <c r="C1325" i="4"/>
  <c r="C1326" i="4"/>
  <c r="C1327" i="4"/>
  <c r="C1328" i="4"/>
  <c r="C1329" i="4"/>
  <c r="C1330" i="4"/>
  <c r="C1331" i="4"/>
  <c r="C1332" i="4"/>
  <c r="C1333" i="4"/>
  <c r="C1334" i="4"/>
  <c r="C1335" i="4"/>
  <c r="C1336" i="4"/>
  <c r="C1337" i="4"/>
  <c r="C1338" i="4"/>
  <c r="C1339" i="4"/>
  <c r="C1340" i="4"/>
  <c r="C1341" i="4"/>
  <c r="C1342" i="4"/>
  <c r="C1343" i="4"/>
  <c r="C1344" i="4"/>
  <c r="C1345" i="4"/>
  <c r="C1346" i="4"/>
  <c r="C1347" i="4"/>
  <c r="C1348" i="4"/>
  <c r="C1349" i="4"/>
  <c r="C1350" i="4"/>
  <c r="C1351" i="4"/>
  <c r="C1352" i="4"/>
  <c r="C1353" i="4"/>
  <c r="C1354" i="4"/>
  <c r="C1355" i="4"/>
  <c r="C1356" i="4"/>
  <c r="C1357" i="4"/>
  <c r="C1358" i="4"/>
  <c r="C1359" i="4"/>
  <c r="C1360" i="4"/>
  <c r="C1361" i="4"/>
  <c r="C1362" i="4"/>
  <c r="C1363" i="4"/>
  <c r="C1364" i="4"/>
  <c r="C1365" i="4"/>
  <c r="C1366" i="4"/>
  <c r="C1367" i="4"/>
  <c r="C1368" i="4"/>
  <c r="C1369" i="4"/>
  <c r="C1370" i="4"/>
  <c r="C1371" i="4"/>
  <c r="C1372" i="4"/>
  <c r="C1373" i="4"/>
  <c r="C1374" i="4"/>
  <c r="C1375" i="4"/>
  <c r="C1376" i="4"/>
  <c r="C1377" i="4"/>
  <c r="C1378" i="4"/>
  <c r="C1379" i="4"/>
  <c r="C1380" i="4"/>
  <c r="C1381" i="4"/>
  <c r="C1382" i="4"/>
  <c r="C1383" i="4"/>
  <c r="C1384" i="4"/>
  <c r="C1385" i="4"/>
  <c r="C1386" i="4"/>
  <c r="C1387" i="4"/>
  <c r="C1388" i="4"/>
  <c r="C1389" i="4"/>
  <c r="C1390" i="4"/>
  <c r="C1391" i="4"/>
  <c r="C1392" i="4"/>
  <c r="C1393" i="4"/>
  <c r="C1394" i="4"/>
  <c r="C1395" i="4"/>
  <c r="C1396" i="4"/>
  <c r="C1397" i="4"/>
  <c r="C1398" i="4"/>
  <c r="C1399" i="4"/>
  <c r="C1400" i="4"/>
  <c r="C1401" i="4"/>
  <c r="C1402" i="4"/>
  <c r="C1403" i="4"/>
  <c r="C1404" i="4"/>
  <c r="C1405" i="4"/>
  <c r="C1406" i="4"/>
  <c r="C1407" i="4"/>
  <c r="C1408" i="4"/>
  <c r="C1409" i="4"/>
  <c r="C1410" i="4"/>
  <c r="C1411" i="4"/>
  <c r="C1412" i="4"/>
  <c r="C1413" i="4"/>
  <c r="C1414" i="4"/>
  <c r="C1415" i="4"/>
  <c r="C1416" i="4"/>
  <c r="C1417" i="4"/>
  <c r="C1418" i="4"/>
  <c r="C1419" i="4"/>
  <c r="C1420" i="4"/>
  <c r="C1421" i="4"/>
  <c r="C1422" i="4"/>
  <c r="C1423" i="4"/>
  <c r="C1424" i="4"/>
  <c r="C1425" i="4"/>
  <c r="C1426" i="4"/>
  <c r="C1427" i="4"/>
  <c r="C1428" i="4"/>
  <c r="C1429" i="4"/>
  <c r="C1430" i="4"/>
  <c r="C1431" i="4"/>
  <c r="C1432" i="4"/>
  <c r="C1433" i="4"/>
  <c r="C1434" i="4"/>
  <c r="C1435" i="4"/>
  <c r="C1436" i="4"/>
  <c r="C1437" i="4"/>
  <c r="C1438" i="4"/>
  <c r="C1439" i="4"/>
  <c r="C1440" i="4"/>
  <c r="C1441" i="4"/>
  <c r="C1442" i="4"/>
  <c r="C1443" i="4"/>
  <c r="C1444" i="4"/>
  <c r="C1445" i="4"/>
  <c r="C1446" i="4"/>
  <c r="C1447" i="4"/>
  <c r="C1448" i="4"/>
  <c r="C1449" i="4"/>
  <c r="C1450" i="4"/>
  <c r="C1451" i="4"/>
  <c r="C1452" i="4"/>
  <c r="C1453" i="4"/>
  <c r="C1454" i="4"/>
  <c r="C1455" i="4"/>
  <c r="C1456" i="4"/>
  <c r="C1457" i="4"/>
  <c r="C1458" i="4"/>
  <c r="C1459" i="4"/>
  <c r="C1460" i="4"/>
  <c r="C1461" i="4"/>
  <c r="C1462" i="4"/>
  <c r="C1463" i="4"/>
  <c r="C1464" i="4"/>
  <c r="C1465" i="4"/>
  <c r="C1466" i="4"/>
  <c r="C1467" i="4"/>
  <c r="C1468" i="4"/>
  <c r="C1469" i="4"/>
  <c r="C1470" i="4"/>
  <c r="C1471" i="4"/>
  <c r="C1472" i="4"/>
  <c r="C1473" i="4"/>
  <c r="C1474" i="4"/>
  <c r="C1475" i="4"/>
  <c r="C1476" i="4"/>
  <c r="C1477" i="4"/>
  <c r="C1478" i="4"/>
  <c r="C1479" i="4"/>
  <c r="C1480" i="4"/>
  <c r="C1481" i="4"/>
  <c r="C1482" i="4"/>
  <c r="C1483" i="4"/>
  <c r="C1484" i="4"/>
  <c r="C1485" i="4"/>
  <c r="C1486" i="4"/>
  <c r="C1487" i="4"/>
  <c r="C1488" i="4"/>
  <c r="C1489" i="4"/>
  <c r="C1490" i="4"/>
  <c r="C1491" i="4"/>
  <c r="C1492" i="4"/>
  <c r="C1493" i="4"/>
  <c r="C1494" i="4"/>
  <c r="C1495" i="4"/>
  <c r="C1496" i="4"/>
  <c r="C1497" i="4"/>
  <c r="C1498" i="4"/>
  <c r="C1499" i="4"/>
  <c r="C1500" i="4"/>
  <c r="C1501" i="4"/>
  <c r="C1502" i="4"/>
  <c r="C1503" i="4"/>
  <c r="C1504" i="4"/>
  <c r="C1505" i="4"/>
  <c r="C1506" i="4"/>
  <c r="C1507" i="4"/>
  <c r="C1508" i="4"/>
  <c r="C1509" i="4"/>
  <c r="C1510" i="4"/>
  <c r="C1511" i="4"/>
  <c r="C1512" i="4"/>
  <c r="C1513" i="4"/>
  <c r="C1514" i="4"/>
  <c r="C1515" i="4"/>
  <c r="C1516" i="4"/>
  <c r="C1517" i="4"/>
  <c r="C1518" i="4"/>
  <c r="C1519" i="4"/>
  <c r="C1520" i="4"/>
  <c r="C1521" i="4"/>
  <c r="C1522" i="4"/>
  <c r="C1523" i="4"/>
  <c r="C1524" i="4"/>
  <c r="C1525" i="4"/>
  <c r="C1526" i="4"/>
  <c r="C1527" i="4"/>
  <c r="C1528" i="4"/>
  <c r="C1529" i="4"/>
  <c r="C1530" i="4"/>
  <c r="C2" i="4"/>
  <c r="F8" i="1"/>
  <c r="G8" i="1" s="1"/>
  <c r="G10" i="1"/>
  <c r="F10" i="1" s="1"/>
  <c r="G11" i="1"/>
  <c r="F11" i="1" s="1"/>
  <c r="G12" i="1"/>
  <c r="F12" i="1" s="1"/>
  <c r="G13" i="1"/>
  <c r="F13" i="1" s="1"/>
  <c r="D9" i="1"/>
  <c r="I9" i="1" s="1"/>
  <c r="D10" i="1"/>
  <c r="I10" i="1" s="1"/>
  <c r="D11" i="1"/>
  <c r="I11" i="1" s="1"/>
  <c r="D12" i="1"/>
  <c r="I12" i="1" s="1"/>
  <c r="D13" i="1"/>
  <c r="I13" i="1" s="1"/>
  <c r="D42" i="1"/>
  <c r="D41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26" i="1"/>
  <c r="B41" i="1"/>
  <c r="B42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26" i="1"/>
  <c r="F9" i="1" l="1"/>
  <c r="M9" i="1" s="1"/>
  <c r="F5" i="1"/>
  <c r="G5" i="1" s="1"/>
  <c r="F7" i="1"/>
  <c r="G7" i="1" s="1"/>
  <c r="G2" i="1"/>
  <c r="F3" i="1"/>
  <c r="G3" i="1" s="1"/>
  <c r="F4" i="1"/>
  <c r="G4" i="1" s="1"/>
  <c r="F6" i="1"/>
  <c r="G6" i="1" s="1"/>
  <c r="M13" i="1"/>
  <c r="M11" i="1"/>
  <c r="M10" i="1"/>
  <c r="M12" i="1"/>
  <c r="B10" i="1"/>
  <c r="N13" i="1"/>
  <c r="N10" i="1"/>
  <c r="B12" i="1"/>
  <c r="B13" i="1"/>
  <c r="N12" i="1"/>
  <c r="B11" i="1"/>
  <c r="N9" i="1"/>
  <c r="N11" i="1"/>
  <c r="K8" i="1" l="1"/>
  <c r="O10" i="1"/>
  <c r="J10" i="1" s="1"/>
  <c r="K10" i="1" s="1"/>
  <c r="O13" i="1"/>
  <c r="J13" i="1" s="1"/>
  <c r="O9" i="1"/>
  <c r="J9" i="1" s="1"/>
  <c r="K9" i="1" s="1"/>
  <c r="O11" i="1"/>
  <c r="J11" i="1" s="1"/>
  <c r="K11" i="1" s="1"/>
  <c r="O12" i="1"/>
  <c r="J12" i="1" s="1"/>
  <c r="K12" i="1" s="1"/>
  <c r="K13" i="1" l="1"/>
  <c r="K14" i="1" s="1"/>
  <c r="J14" i="1" s="1"/>
  <c r="I14" i="1" s="1"/>
</calcChain>
</file>

<file path=xl/sharedStrings.xml><?xml version="1.0" encoding="utf-8"?>
<sst xmlns="http://schemas.openxmlformats.org/spreadsheetml/2006/main" count="200" uniqueCount="88">
  <si>
    <t>Tenors</t>
  </si>
  <si>
    <t>1B</t>
  </si>
  <si>
    <t>Quote</t>
  </si>
  <si>
    <t>Type</t>
  </si>
  <si>
    <t>Swap</t>
  </si>
  <si>
    <t>Future</t>
  </si>
  <si>
    <t>SOFR</t>
  </si>
  <si>
    <t>Rate</t>
  </si>
  <si>
    <t>T1</t>
  </si>
  <si>
    <t>T2</t>
  </si>
  <si>
    <t>ConvAdj</t>
  </si>
  <si>
    <t>Symbol</t>
  </si>
  <si>
    <t>TRADE_DATE</t>
  </si>
  <si>
    <t>FRIENDLY_NAME</t>
  </si>
  <si>
    <t>RATE</t>
  </si>
  <si>
    <t>TENOR_NUM</t>
  </si>
  <si>
    <t>TENOR_UNIT</t>
  </si>
  <si>
    <t>SOFR-OIS 1W</t>
  </si>
  <si>
    <t>W</t>
  </si>
  <si>
    <t>SOFR-OIS 2W</t>
  </si>
  <si>
    <t>SOFR-OIS 3W</t>
  </si>
  <si>
    <t>SOFR-OIS 1M</t>
  </si>
  <si>
    <t>M</t>
  </si>
  <si>
    <t>SOFR-OIS 2M</t>
  </si>
  <si>
    <t>SOFR-OIS 3M</t>
  </si>
  <si>
    <t>SOFR-OIS 4M</t>
  </si>
  <si>
    <t>SOFR-OIS 5M</t>
  </si>
  <si>
    <t>SOFR-OIS 6M</t>
  </si>
  <si>
    <t>SOFR-OIS 7M</t>
  </si>
  <si>
    <t>SOFR-OIS 8M</t>
  </si>
  <si>
    <t>SOFR-OIS 9M</t>
  </si>
  <si>
    <t>SOFR-OIS 10M</t>
  </si>
  <si>
    <t>SOFR-OIS 11M</t>
  </si>
  <si>
    <t>SOFR-OIS 15M</t>
  </si>
  <si>
    <t>SOFR-OIS 18M</t>
  </si>
  <si>
    <t>SOFR-OIS 1Y</t>
  </si>
  <si>
    <t>Y</t>
  </si>
  <si>
    <t>SOFR-OIS 2Y</t>
  </si>
  <si>
    <t>SOFR-OIS 3Y</t>
  </si>
  <si>
    <t>SOFR-OIS 4Y</t>
  </si>
  <si>
    <t>SOFR-OIS 5Y</t>
  </si>
  <si>
    <t>SOFR-OIS 6Y</t>
  </si>
  <si>
    <t>SOFR-OIS 7Y</t>
  </si>
  <si>
    <t>SOFR-OIS 8Y</t>
  </si>
  <si>
    <t>SOFR-OIS 9Y</t>
  </si>
  <si>
    <t>SOFR-OIS 10Y</t>
  </si>
  <si>
    <t>SOFR-OIS 12Y</t>
  </si>
  <si>
    <t>SOFR-OIS 15Y</t>
  </si>
  <si>
    <t>SOFR-OIS 20Y</t>
  </si>
  <si>
    <t>SOFR-OIS 25Y</t>
  </si>
  <si>
    <t>SOFR-OIS 30Y</t>
  </si>
  <si>
    <t>SOFR-OIS 35Y</t>
  </si>
  <si>
    <t>SOFR-OIS 40Y</t>
  </si>
  <si>
    <t>SOFR-OIS 45Y</t>
  </si>
  <si>
    <t>SOFR-OIS 50Y</t>
  </si>
  <si>
    <t>RIC</t>
  </si>
  <si>
    <t>EXPIRATION_DATE</t>
  </si>
  <si>
    <t>CONTRACT_MONTH_YEAR</t>
  </si>
  <si>
    <t>TRADING_DATE</t>
  </si>
  <si>
    <t>SETTLE</t>
  </si>
  <si>
    <t>SOFR3Z5</t>
  </si>
  <si>
    <t>SOFR3H6</t>
  </si>
  <si>
    <t>SOFR3M6</t>
  </si>
  <si>
    <t>SOFR3U6</t>
  </si>
  <si>
    <t>SOFR3Z6</t>
  </si>
  <si>
    <t>SOFR3H7</t>
  </si>
  <si>
    <t>SOFR3M7</t>
  </si>
  <si>
    <t>SOFR3U7</t>
  </si>
  <si>
    <t>SOFR3Z7</t>
  </si>
  <si>
    <t>SOFR3H8</t>
  </si>
  <si>
    <t>SOFR3M8</t>
  </si>
  <si>
    <t>SOFR3U8</t>
  </si>
  <si>
    <t>SOFR3Z8</t>
  </si>
  <si>
    <t>SOFR3H9</t>
  </si>
  <si>
    <t>SOFR3M9</t>
  </si>
  <si>
    <t>SOFR3U9</t>
  </si>
  <si>
    <t>SOFR3Z9</t>
  </si>
  <si>
    <t>SOFR3H0</t>
  </si>
  <si>
    <t>SOFR3M0</t>
  </si>
  <si>
    <t>SOFR3U0</t>
  </si>
  <si>
    <t>SOFR3Z0</t>
  </si>
  <si>
    <t>SOFR3H31</t>
  </si>
  <si>
    <t>SOFR3M31</t>
  </si>
  <si>
    <t>SOFR3U31</t>
  </si>
  <si>
    <t>StartDate</t>
  </si>
  <si>
    <t>EndDate</t>
  </si>
  <si>
    <t>ivol</t>
  </si>
  <si>
    <t>EFF_DATE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</si>
</sst>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00000"/>
    <numFmt numFmtId="167" formatCode="yyyy\-mm\-dd;@"/>
  </numFmts>
  <fonts count="5" x14ac:knownFonts="1">
    <font>
      <sz val="10"/>
      <color theme="1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theme="4"/>
      <name val="Arial"/>
      <family val="2"/>
    </font>
    <font>
      <b/>
      <sz val="11"/>
      <color theme="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22" fontId="0" fillId="0" borderId="0" xfId="0" applyNumberFormat="1"/>
    <xf numFmtId="17" fontId="0" fillId="0" borderId="0" xfId="0" applyNumberFormat="1"/>
    <xf numFmtId="167" fontId="0" fillId="0" borderId="0" xfId="0" applyNumberFormat="1"/>
    <xf numFmtId="0" fontId="3" fillId="2" borderId="0" xfId="0" applyFont="1" applyFill="1"/>
    <xf numFmtId="167" fontId="3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5C233-C39E-4F3E-8847-EA17F9D73BC1}">
  <dimension ref="A1:P44"/>
  <sheetViews>
    <sheetView tabSelected="1" workbookViewId="0">
      <selection activeCell="D3" sqref="D3"/>
    </sheetView>
  </sheetViews>
  <sheetFormatPr defaultRowHeight="12.75" x14ac:dyDescent="0.2"/>
  <cols>
    <col min="1" max="1" width="14.85546875" customWidth="1"/>
    <col min="2" max="2" width="7" bestFit="1" customWidth="1"/>
    <col min="3" max="3" width="7" customWidth="1"/>
    <col min="4" max="4" width="11.5703125" style="6" bestFit="1" customWidth="1"/>
    <col min="5" max="5" width="2.7109375" style="6" customWidth="1"/>
    <col min="6" max="7" width="11.5703125" style="6" customWidth="1"/>
    <col min="8" max="8" width="2.7109375" style="6" customWidth="1"/>
    <col min="12" max="12" width="2.7109375" customWidth="1"/>
    <col min="13" max="14" width="4.5703125" bestFit="1" customWidth="1"/>
    <col min="16" max="16" width="8" bestFit="1" customWidth="1"/>
  </cols>
  <sheetData>
    <row r="1" spans="1:16" ht="15" x14ac:dyDescent="0.2">
      <c r="A1" s="3" t="s">
        <v>11</v>
      </c>
      <c r="B1" s="1" t="s">
        <v>0</v>
      </c>
      <c r="C1" s="1" t="s">
        <v>3</v>
      </c>
      <c r="D1" s="1" t="s">
        <v>2</v>
      </c>
      <c r="E1" s="1"/>
      <c r="F1" s="1" t="s">
        <v>84</v>
      </c>
      <c r="G1" s="1" t="s">
        <v>85</v>
      </c>
      <c r="H1" s="1"/>
    </row>
    <row r="2" spans="1:16" ht="15" x14ac:dyDescent="0.2">
      <c r="A2" s="4" t="s">
        <v>6</v>
      </c>
      <c r="B2" s="2" t="s">
        <v>1</v>
      </c>
      <c r="C2" s="2" t="s">
        <v>7</v>
      </c>
      <c r="D2" s="6">
        <f>INDEX(SOFRHist!$B:$B,MATCH($F$2,SOFRHist!$C:$C,0))</f>
        <v>3.66</v>
      </c>
      <c r="F2" s="13">
        <v>46077</v>
      </c>
      <c r="G2" s="11">
        <f>WORKDAY(F2,1,holidays_US!$A:$A)</f>
        <v>46078</v>
      </c>
      <c r="I2" s="6"/>
      <c r="J2" s="7"/>
      <c r="L2" s="7"/>
    </row>
    <row r="3" spans="1:16" ht="15" x14ac:dyDescent="0.2">
      <c r="A3" s="4" t="s">
        <v>17</v>
      </c>
      <c r="B3" s="2" t="str">
        <f>VLOOKUP(Inputs!$A3,'SOFR-OIS'!$B:$E,3,FALSE)&amp;VLOOKUP(Inputs!$A3,'SOFR-OIS'!$B:$E,4,FALSE)</f>
        <v>1W</v>
      </c>
      <c r="C3" s="2" t="s">
        <v>4</v>
      </c>
      <c r="D3" s="7">
        <f>+VLOOKUP(Inputs!$A3,'SOFR-OIS'!$B:$E,2,FALSE)</f>
        <v>3.6909999999999998</v>
      </c>
      <c r="F3" s="11">
        <f>+WORKDAY($F$2,1,holidays_US!$A:$A)</f>
        <v>46078</v>
      </c>
      <c r="G3" s="11">
        <f>+WORKDAY(F3,5,holidays_US!$A:$A)</f>
        <v>46085</v>
      </c>
      <c r="I3" s="6"/>
      <c r="J3" s="7"/>
      <c r="K3" s="7"/>
      <c r="L3" s="7"/>
    </row>
    <row r="4" spans="1:16" ht="15" x14ac:dyDescent="0.2">
      <c r="A4" s="4" t="s">
        <v>19</v>
      </c>
      <c r="B4" s="2" t="str">
        <f>VLOOKUP(Inputs!$A4,'SOFR-OIS'!$B:$E,3,FALSE)&amp;VLOOKUP(Inputs!$A4,'SOFR-OIS'!$B:$E,4,FALSE)</f>
        <v>2W</v>
      </c>
      <c r="C4" s="2" t="s">
        <v>4</v>
      </c>
      <c r="D4" s="7">
        <f>+VLOOKUP(Inputs!$A4,'SOFR-OIS'!$B:$E,2,FALSE)</f>
        <v>3.677</v>
      </c>
      <c r="F4" s="11">
        <f>+WORKDAY($F$2,1,holidays_US!$A:$A)</f>
        <v>46078</v>
      </c>
      <c r="G4" s="11">
        <f>+WORKDAY(F4,10,holidays_US!$A:$A)</f>
        <v>46092</v>
      </c>
      <c r="I4" s="6"/>
      <c r="J4" s="7"/>
      <c r="K4" s="7"/>
      <c r="L4" s="7"/>
    </row>
    <row r="5" spans="1:16" ht="15" x14ac:dyDescent="0.2">
      <c r="A5" s="4" t="s">
        <v>20</v>
      </c>
      <c r="B5" s="2" t="str">
        <f>VLOOKUP(Inputs!$A5,'SOFR-OIS'!$B:$E,3,FALSE)&amp;VLOOKUP(Inputs!$A5,'SOFR-OIS'!$B:$E,4,FALSE)</f>
        <v>3W</v>
      </c>
      <c r="C5" s="2" t="s">
        <v>4</v>
      </c>
      <c r="D5" s="7">
        <f>+VLOOKUP(Inputs!$A5,'SOFR-OIS'!$B:$E,2,FALSE)</f>
        <v>3.6739999999999999</v>
      </c>
      <c r="F5" s="11">
        <f>+WORKDAY($F$2,1,holidays_US!$A:$A)</f>
        <v>46078</v>
      </c>
      <c r="G5" s="11">
        <f>+WORKDAY(F5,15,holidays_US!$A:$A)</f>
        <v>46099</v>
      </c>
      <c r="I5" s="6"/>
      <c r="J5" s="7"/>
      <c r="K5" s="7"/>
      <c r="L5" s="7"/>
    </row>
    <row r="6" spans="1:16" ht="15" x14ac:dyDescent="0.2">
      <c r="A6" s="4" t="s">
        <v>21</v>
      </c>
      <c r="B6" s="2" t="str">
        <f>VLOOKUP(Inputs!$A6,'SOFR-OIS'!$B:$E,3,FALSE)&amp;VLOOKUP(Inputs!$A6,'SOFR-OIS'!$B:$E,4,FALSE)</f>
        <v>1M</v>
      </c>
      <c r="C6" s="2" t="s">
        <v>4</v>
      </c>
      <c r="D6" s="7">
        <f>+VLOOKUP(Inputs!$A6,'SOFR-OIS'!$B:$E,2,FALSE)</f>
        <v>3.6739999999999999</v>
      </c>
      <c r="F6" s="11">
        <f>+WORKDAY($F$2,1,holidays_US!$A:$A)</f>
        <v>46078</v>
      </c>
      <c r="G6" s="11">
        <f>+WORKDAY(F6,20,holidays_US!$A:$A)</f>
        <v>46106</v>
      </c>
      <c r="I6" s="6"/>
      <c r="J6" s="7"/>
      <c r="K6" s="7"/>
      <c r="L6" s="7"/>
    </row>
    <row r="7" spans="1:16" ht="15" x14ac:dyDescent="0.2">
      <c r="A7" s="4" t="s">
        <v>23</v>
      </c>
      <c r="B7" s="2" t="str">
        <f>VLOOKUP(Inputs!$A7,'SOFR-OIS'!$B:$E,3,FALSE)&amp;VLOOKUP(Inputs!$A7,'SOFR-OIS'!$B:$E,4,FALSE)</f>
        <v>2M</v>
      </c>
      <c r="C7" s="2" t="s">
        <v>4</v>
      </c>
      <c r="D7" s="7">
        <f>+VLOOKUP(Inputs!$A7,'SOFR-OIS'!$B:$E,2,FALSE)</f>
        <v>3.6779999999999999</v>
      </c>
      <c r="F7" s="11">
        <f>+WORKDAY($F$2,1,holidays_US!$A:$A)</f>
        <v>46078</v>
      </c>
      <c r="G7" s="11">
        <f>+WORKDAY(F7,40,holidays_US!$A:$A)</f>
        <v>46134</v>
      </c>
      <c r="I7" s="6"/>
      <c r="J7" s="7"/>
      <c r="K7" s="7"/>
      <c r="L7" s="7"/>
      <c r="M7" s="1" t="s">
        <v>8</v>
      </c>
      <c r="N7" s="1" t="s">
        <v>9</v>
      </c>
      <c r="O7" s="1" t="s">
        <v>10</v>
      </c>
      <c r="P7" s="1" t="s">
        <v>86</v>
      </c>
    </row>
    <row r="8" spans="1:16" ht="15" x14ac:dyDescent="0.2">
      <c r="A8" s="4" t="s">
        <v>24</v>
      </c>
      <c r="B8" s="2" t="str">
        <f>VLOOKUP(Inputs!$A8,'SOFR-OIS'!$B:$E,3,FALSE)&amp;VLOOKUP(Inputs!$A8,'SOFR-OIS'!$B:$E,4,FALSE)</f>
        <v>3M</v>
      </c>
      <c r="C8" s="2" t="s">
        <v>4</v>
      </c>
      <c r="D8" s="7">
        <f>+VLOOKUP(Inputs!$A8,'SOFR-OIS'!$B:$E,2,FALSE)</f>
        <v>3.6720000000000002</v>
      </c>
      <c r="F8" s="11">
        <f>+WORKDAY($F$2,1,holidays_US!$A:$A)</f>
        <v>46078</v>
      </c>
      <c r="G8" s="11">
        <f>+WORKDAY(F8,60,holidays_US!$A:$A)</f>
        <v>46162</v>
      </c>
      <c r="I8" s="6"/>
      <c r="J8" s="7"/>
      <c r="K8" s="7">
        <f>1+D2*_xlfn.DAYS(F9,F2)/36000</f>
        <v>1.0022366666666667</v>
      </c>
      <c r="L8" s="7"/>
      <c r="P8" s="12">
        <v>7.77E-3</v>
      </c>
    </row>
    <row r="9" spans="1:16" ht="15" x14ac:dyDescent="0.2">
      <c r="A9" s="14" t="s">
        <v>61</v>
      </c>
      <c r="B9" s="2" t="str">
        <f>_xlfn.CONCAT(_xlfn.DAYS(G9,$F$2),"D")</f>
        <v>112D</v>
      </c>
      <c r="C9" s="2" t="s">
        <v>5</v>
      </c>
      <c r="D9" s="6">
        <f>+VLOOKUP($A9,SOFR3!$A:$E,5,FALSE)</f>
        <v>96.342500000000001</v>
      </c>
      <c r="F9" s="11">
        <f>+G9-90</f>
        <v>46099</v>
      </c>
      <c r="G9" s="11">
        <f>+VLOOKUP($A9,SOFR3!$A:$E,2,FALSE)</f>
        <v>46189</v>
      </c>
      <c r="H9" s="11"/>
      <c r="I9" s="7">
        <f>100-D9</f>
        <v>3.6574999999999989</v>
      </c>
      <c r="J9" s="7">
        <f>+I9-O9</f>
        <v>3.6574426084777767</v>
      </c>
      <c r="K9" s="7">
        <f>1+J9*90/36000</f>
        <v>1.0091436065211945</v>
      </c>
      <c r="L9" s="7"/>
      <c r="M9" s="5">
        <f t="shared" ref="M9:N13" si="0">MAX(0,+F9-$F$2)/360</f>
        <v>6.1111111111111109E-2</v>
      </c>
      <c r="N9" s="5">
        <f t="shared" si="0"/>
        <v>0.31111111111111112</v>
      </c>
      <c r="O9" s="8">
        <f>0.5*POWER($P$8,2)*M9*N9*100</f>
        <v>5.7391522222222226E-5</v>
      </c>
    </row>
    <row r="10" spans="1:16" ht="15" x14ac:dyDescent="0.2">
      <c r="A10" s="14" t="s">
        <v>62</v>
      </c>
      <c r="B10" s="2" t="str">
        <f t="shared" ref="B10:B13" si="1">_xlfn.CONCAT(_xlfn.DAYS(G10,$F$2),"D")</f>
        <v>203D</v>
      </c>
      <c r="C10" s="2" t="s">
        <v>5</v>
      </c>
      <c r="D10" s="6">
        <f>+VLOOKUP(A10,SOFR3!$A:$E,5,FALSE)</f>
        <v>96.515000000000001</v>
      </c>
      <c r="F10" s="11">
        <f t="shared" ref="F10:F13" si="2">+G10-90</f>
        <v>46190</v>
      </c>
      <c r="G10" s="11">
        <f>+VLOOKUP($A10,SOFR3!$A:$E,2,FALSE)</f>
        <v>46280</v>
      </c>
      <c r="H10" s="11"/>
      <c r="I10" s="7">
        <f>100-D10</f>
        <v>3.4849999999999994</v>
      </c>
      <c r="J10" s="7">
        <f>+I10-O10</f>
        <v>3.4844657044934024</v>
      </c>
      <c r="K10" s="7">
        <f t="shared" ref="K10:K11" si="3">1+J10*90/36000</f>
        <v>1.0087111642612334</v>
      </c>
      <c r="L10" s="7"/>
      <c r="M10" s="5">
        <f t="shared" si="0"/>
        <v>0.31388888888888888</v>
      </c>
      <c r="N10" s="5">
        <f t="shared" si="0"/>
        <v>0.56388888888888888</v>
      </c>
      <c r="O10" s="8">
        <f>0.5*POWER($P$8,2)*M10*N10*100</f>
        <v>5.3429550659722224E-4</v>
      </c>
    </row>
    <row r="11" spans="1:16" ht="15" x14ac:dyDescent="0.2">
      <c r="A11" s="14" t="s">
        <v>63</v>
      </c>
      <c r="B11" s="2" t="str">
        <f t="shared" si="1"/>
        <v>294D</v>
      </c>
      <c r="C11" s="2" t="s">
        <v>5</v>
      </c>
      <c r="D11" s="6">
        <f>+VLOOKUP(A11,SOFR3!$A:$E,5,FALSE)</f>
        <v>96.75</v>
      </c>
      <c r="F11" s="11">
        <f t="shared" si="2"/>
        <v>46281</v>
      </c>
      <c r="G11" s="11">
        <f>+VLOOKUP($A11,SOFR3!$A:$E,2,FALSE)</f>
        <v>46371</v>
      </c>
      <c r="H11" s="11"/>
      <c r="I11" s="7">
        <f>100-D11</f>
        <v>3.25</v>
      </c>
      <c r="J11" s="7">
        <f>+I11-O11</f>
        <v>3.2486030381750002</v>
      </c>
      <c r="K11" s="7">
        <f t="shared" si="3"/>
        <v>1.0081215075954375</v>
      </c>
      <c r="L11" s="7"/>
      <c r="M11" s="5">
        <f t="shared" si="0"/>
        <v>0.56666666666666665</v>
      </c>
      <c r="N11" s="5">
        <f t="shared" si="0"/>
        <v>0.81666666666666665</v>
      </c>
      <c r="O11" s="8">
        <f>0.5*POWER($P$8,2)*M11*N11*100</f>
        <v>1.3969618249999997E-3</v>
      </c>
    </row>
    <row r="12" spans="1:16" ht="15" x14ac:dyDescent="0.2">
      <c r="A12" s="14" t="s">
        <v>64</v>
      </c>
      <c r="B12" s="2" t="str">
        <f t="shared" si="1"/>
        <v>385D</v>
      </c>
      <c r="C12" s="2" t="s">
        <v>5</v>
      </c>
      <c r="D12" s="6">
        <f>+VLOOKUP(A12,SOFR3!$A:$E,5,FALSE)</f>
        <v>96.9</v>
      </c>
      <c r="F12" s="11">
        <f t="shared" si="2"/>
        <v>46372</v>
      </c>
      <c r="G12" s="11">
        <f>+VLOOKUP($A12,SOFR3!$A:$E,2,FALSE)</f>
        <v>46462</v>
      </c>
      <c r="H12" s="11"/>
      <c r="I12" s="7">
        <f>100-D12</f>
        <v>3.0999999999999943</v>
      </c>
      <c r="J12" s="7">
        <f>+I12-O12</f>
        <v>3.0973546095225637</v>
      </c>
      <c r="K12" s="7">
        <f>1+J12*90/36000</f>
        <v>1.0077433865238064</v>
      </c>
      <c r="L12" s="7"/>
      <c r="M12" s="5">
        <f t="shared" si="0"/>
        <v>0.81944444444444442</v>
      </c>
      <c r="N12" s="5">
        <f t="shared" si="0"/>
        <v>1.0694444444444444</v>
      </c>
      <c r="O12" s="8">
        <f>0.5*POWER($P$8,2)*M12*N12*100</f>
        <v>2.6453904774305552E-3</v>
      </c>
    </row>
    <row r="13" spans="1:16" ht="15" x14ac:dyDescent="0.2">
      <c r="A13" s="14" t="s">
        <v>68</v>
      </c>
      <c r="B13" s="2" t="str">
        <f t="shared" si="1"/>
        <v>749D</v>
      </c>
      <c r="C13" s="2" t="s">
        <v>5</v>
      </c>
      <c r="D13" s="6">
        <f>+VLOOKUP(A13,SOFR3!$A:$E,5,FALSE)</f>
        <v>96.97</v>
      </c>
      <c r="F13" s="11">
        <f t="shared" si="2"/>
        <v>46736</v>
      </c>
      <c r="G13" s="11">
        <f>+VLOOKUP($A13,SOFR3!$A:$E,2,FALSE)</f>
        <v>46826</v>
      </c>
      <c r="H13" s="11"/>
      <c r="I13" s="7">
        <f>100-D13</f>
        <v>3.0300000000000011</v>
      </c>
      <c r="J13" s="7">
        <f>+I13-O13</f>
        <v>3.0185032715725706</v>
      </c>
      <c r="K13" s="7">
        <f>(1+J13*90/36000)*(1+J12*_xlfn.DAYS(F13,G12)/36000)</f>
        <v>1.0312984660928006</v>
      </c>
      <c r="L13" s="7"/>
      <c r="M13" s="5">
        <f t="shared" si="0"/>
        <v>1.8305555555555555</v>
      </c>
      <c r="N13" s="5">
        <f t="shared" si="0"/>
        <v>2.0805555555555557</v>
      </c>
      <c r="O13" s="8">
        <f>0.5*POWER($P$8,2)*M13*N13*100</f>
        <v>1.1496728427430556E-2</v>
      </c>
    </row>
    <row r="14" spans="1:16" ht="15" x14ac:dyDescent="0.2">
      <c r="A14" s="4" t="s">
        <v>25</v>
      </c>
      <c r="B14" s="2" t="str">
        <f>VLOOKUP(Inputs!$A14,'SOFR-OIS'!$B:$E,3,FALSE)&amp;VLOOKUP(Inputs!$A14,'SOFR-OIS'!$B:$E,4,FALSE)</f>
        <v>4M</v>
      </c>
      <c r="C14" s="2" t="s">
        <v>4</v>
      </c>
      <c r="D14" s="7">
        <f>+VLOOKUP(Inputs!$A14,'SOFR-OIS'!$B:$E,2,FALSE)</f>
        <v>3.665</v>
      </c>
      <c r="E14" s="7"/>
      <c r="F14" s="7"/>
      <c r="G14" s="7"/>
      <c r="H14" s="7"/>
      <c r="I14" s="6">
        <f>+J14*100</f>
        <v>3.2543713707724686</v>
      </c>
      <c r="J14" s="7">
        <f>POWER(K14,360/_xlfn.DAYS(G13,F2))-1</f>
        <v>3.2543713707724686E-2</v>
      </c>
      <c r="K14" s="7">
        <f>+PRODUCT(K3:K13)</f>
        <v>1.0689005404072709</v>
      </c>
      <c r="L14" s="7"/>
    </row>
    <row r="15" spans="1:16" ht="15" x14ac:dyDescent="0.2">
      <c r="A15" s="4" t="s">
        <v>26</v>
      </c>
      <c r="B15" s="2" t="str">
        <f>VLOOKUP(Inputs!$A15,'SOFR-OIS'!$B:$E,3,FALSE)&amp;VLOOKUP(Inputs!$A15,'SOFR-OIS'!$B:$E,4,FALSE)</f>
        <v>5M</v>
      </c>
      <c r="C15" s="2" t="s">
        <v>4</v>
      </c>
      <c r="D15" s="7">
        <f>+VLOOKUP(Inputs!$A15,'SOFR-OIS'!$B:$E,2,FALSE)</f>
        <v>3.6459999999999999</v>
      </c>
      <c r="E15" s="7"/>
      <c r="F15" s="7"/>
      <c r="G15" s="7"/>
      <c r="H15" s="7"/>
      <c r="O15" s="8"/>
    </row>
    <row r="16" spans="1:16" ht="15" x14ac:dyDescent="0.2">
      <c r="A16" s="4" t="s">
        <v>27</v>
      </c>
      <c r="B16" s="2" t="str">
        <f>VLOOKUP(Inputs!$A16,'SOFR-OIS'!$B:$E,3,FALSE)&amp;VLOOKUP(Inputs!$A16,'SOFR-OIS'!$B:$E,4,FALSE)</f>
        <v>6M</v>
      </c>
      <c r="C16" s="2" t="s">
        <v>4</v>
      </c>
      <c r="D16" s="7">
        <f>+VLOOKUP(Inputs!$A16,'SOFR-OIS'!$B:$E,2,FALSE)</f>
        <v>3.62</v>
      </c>
      <c r="E16" s="7"/>
      <c r="F16" s="7"/>
      <c r="G16" s="7"/>
      <c r="H16" s="7"/>
    </row>
    <row r="17" spans="1:8" ht="15" x14ac:dyDescent="0.2">
      <c r="A17" s="4" t="s">
        <v>28</v>
      </c>
      <c r="B17" s="2" t="str">
        <f>VLOOKUP(Inputs!$A17,'SOFR-OIS'!$B:$E,3,FALSE)&amp;VLOOKUP(Inputs!$A17,'SOFR-OIS'!$B:$E,4,FALSE)</f>
        <v>7M</v>
      </c>
      <c r="C17" s="2" t="s">
        <v>4</v>
      </c>
      <c r="D17" s="7">
        <f>+VLOOKUP(Inputs!$A17,'SOFR-OIS'!$B:$E,2,FALSE)</f>
        <v>3.5960000000000001</v>
      </c>
      <c r="E17" s="7"/>
      <c r="F17" s="7"/>
      <c r="G17" s="7"/>
      <c r="H17" s="7"/>
    </row>
    <row r="18" spans="1:8" ht="15" x14ac:dyDescent="0.2">
      <c r="A18" s="4" t="s">
        <v>29</v>
      </c>
      <c r="B18" s="2" t="str">
        <f>VLOOKUP(Inputs!$A18,'SOFR-OIS'!$B:$E,3,FALSE)&amp;VLOOKUP(Inputs!$A18,'SOFR-OIS'!$B:$E,4,FALSE)</f>
        <v>8M</v>
      </c>
      <c r="C18" s="2" t="s">
        <v>4</v>
      </c>
      <c r="D18" s="7">
        <f>+VLOOKUP(Inputs!$A18,'SOFR-OIS'!$B:$E,2,FALSE)</f>
        <v>3.5659999999999998</v>
      </c>
      <c r="E18" s="7"/>
      <c r="F18" s="7"/>
      <c r="G18" s="7"/>
      <c r="H18" s="7"/>
    </row>
    <row r="19" spans="1:8" ht="15" x14ac:dyDescent="0.2">
      <c r="A19" s="4" t="s">
        <v>30</v>
      </c>
      <c r="B19" s="2" t="str">
        <f>VLOOKUP(Inputs!$A19,'SOFR-OIS'!$B:$E,3,FALSE)&amp;VLOOKUP(Inputs!$A19,'SOFR-OIS'!$B:$E,4,FALSE)</f>
        <v>9M</v>
      </c>
      <c r="C19" s="2" t="s">
        <v>4</v>
      </c>
      <c r="D19" s="7">
        <f>+VLOOKUP(Inputs!$A19,'SOFR-OIS'!$B:$E,2,FALSE)</f>
        <v>3.5350000000000001</v>
      </c>
      <c r="E19" s="7"/>
      <c r="F19" s="7"/>
      <c r="G19" s="7"/>
      <c r="H19" s="7"/>
    </row>
    <row r="20" spans="1:8" ht="15" x14ac:dyDescent="0.2">
      <c r="A20" s="4" t="s">
        <v>31</v>
      </c>
      <c r="B20" s="2" t="str">
        <f>VLOOKUP(Inputs!$A20,'SOFR-OIS'!$B:$E,3,FALSE)&amp;VLOOKUP(Inputs!$A20,'SOFR-OIS'!$B:$E,4,FALSE)</f>
        <v>10M</v>
      </c>
      <c r="C20" s="2" t="s">
        <v>4</v>
      </c>
      <c r="D20" s="7">
        <f>+VLOOKUP(Inputs!$A20,'SOFR-OIS'!$B:$E,2,FALSE)</f>
        <v>3.5030000000000001</v>
      </c>
      <c r="E20" s="7"/>
      <c r="F20" s="7"/>
      <c r="G20" s="7"/>
      <c r="H20" s="7"/>
    </row>
    <row r="21" spans="1:8" ht="15" x14ac:dyDescent="0.2">
      <c r="A21" s="4" t="s">
        <v>32</v>
      </c>
      <c r="B21" s="2" t="str">
        <f>VLOOKUP(Inputs!$A21,'SOFR-OIS'!$B:$E,3,FALSE)&amp;VLOOKUP(Inputs!$A21,'SOFR-OIS'!$B:$E,4,FALSE)</f>
        <v>11M</v>
      </c>
      <c r="C21" s="2" t="s">
        <v>4</v>
      </c>
      <c r="D21" s="7">
        <f>+VLOOKUP(Inputs!$A21,'SOFR-OIS'!$B:$E,2,FALSE)</f>
        <v>3.4780000000000002</v>
      </c>
      <c r="E21" s="7"/>
      <c r="F21" s="7"/>
      <c r="G21" s="7"/>
      <c r="H21" s="7"/>
    </row>
    <row r="22" spans="1:8" ht="15" x14ac:dyDescent="0.2">
      <c r="A22" s="4" t="s">
        <v>33</v>
      </c>
      <c r="B22" s="2" t="str">
        <f>VLOOKUP(Inputs!$A22,'SOFR-OIS'!$B:$E,3,FALSE)&amp;VLOOKUP(Inputs!$A22,'SOFR-OIS'!$B:$E,4,FALSE)</f>
        <v>15M</v>
      </c>
      <c r="C22" s="2" t="s">
        <v>4</v>
      </c>
      <c r="D22" s="7">
        <f>+VLOOKUP(Inputs!$A22,'SOFR-OIS'!$B:$E,2,FALSE)</f>
        <v>3.3690000000000002</v>
      </c>
      <c r="E22" s="7"/>
      <c r="F22" s="7"/>
      <c r="G22" s="7"/>
      <c r="H22" s="7"/>
    </row>
    <row r="23" spans="1:8" ht="15" x14ac:dyDescent="0.2">
      <c r="A23" s="4" t="s">
        <v>34</v>
      </c>
      <c r="B23" s="2" t="str">
        <f>VLOOKUP(Inputs!$A23,'SOFR-OIS'!$B:$E,3,FALSE)&amp;VLOOKUP(Inputs!$A23,'SOFR-OIS'!$B:$E,4,FALSE)</f>
        <v>18M</v>
      </c>
      <c r="C23" s="2" t="s">
        <v>4</v>
      </c>
      <c r="D23" s="7">
        <f>+VLOOKUP(Inputs!$A23,'SOFR-OIS'!$B:$E,2,FALSE)</f>
        <v>3.3109999999999999</v>
      </c>
      <c r="E23" s="7"/>
      <c r="F23" s="7"/>
      <c r="G23" s="7"/>
      <c r="H23" s="7"/>
    </row>
    <row r="24" spans="1:8" ht="15" x14ac:dyDescent="0.2">
      <c r="A24" s="4" t="s">
        <v>35</v>
      </c>
      <c r="B24" s="2" t="str">
        <f>VLOOKUP(Inputs!$A24,'SOFR-OIS'!$B:$E,3,FALSE)&amp;VLOOKUP(Inputs!$A24,'SOFR-OIS'!$B:$E,4,FALSE)</f>
        <v>1Y</v>
      </c>
      <c r="C24" s="2" t="s">
        <v>4</v>
      </c>
      <c r="D24" s="7">
        <f>+VLOOKUP(Inputs!$A24,'SOFR-OIS'!$B:$E,2,FALSE)</f>
        <v>3.452</v>
      </c>
      <c r="E24" s="7"/>
      <c r="F24" s="7"/>
      <c r="G24" s="7"/>
      <c r="H24" s="7"/>
    </row>
    <row r="25" spans="1:8" ht="15" x14ac:dyDescent="0.2">
      <c r="A25" s="4" t="s">
        <v>37</v>
      </c>
      <c r="B25" s="2" t="str">
        <f>VLOOKUP(Inputs!$A25,'SOFR-OIS'!$B:$E,3,FALSE)&amp;VLOOKUP(Inputs!$A25,'SOFR-OIS'!$B:$E,4,FALSE)</f>
        <v>2Y</v>
      </c>
      <c r="C25" s="2" t="s">
        <v>4</v>
      </c>
      <c r="D25" s="7">
        <f>+VLOOKUP(Inputs!$A25,'SOFR-OIS'!$B:$E,2,FALSE)</f>
        <v>3.25</v>
      </c>
      <c r="E25" s="7"/>
      <c r="F25" s="7"/>
      <c r="G25" s="7"/>
      <c r="H25" s="7"/>
    </row>
    <row r="26" spans="1:8" ht="15" x14ac:dyDescent="0.2">
      <c r="A26" s="4" t="s">
        <v>38</v>
      </c>
      <c r="B26" s="2" t="str">
        <f>VLOOKUP(Inputs!$A26,'SOFR-OIS'!$B:$E,3,FALSE)&amp;VLOOKUP(Inputs!$A26,'SOFR-OIS'!$B:$E,4,FALSE)</f>
        <v>3Y</v>
      </c>
      <c r="C26" s="2" t="s">
        <v>4</v>
      </c>
      <c r="D26" s="7">
        <f>+VLOOKUP(Inputs!$A26,'SOFR-OIS'!$B:$E,2,FALSE)</f>
        <v>3.2170000000000001</v>
      </c>
      <c r="E26" s="7"/>
      <c r="F26" s="7"/>
      <c r="G26" s="7"/>
      <c r="H26" s="7"/>
    </row>
    <row r="27" spans="1:8" ht="15" x14ac:dyDescent="0.2">
      <c r="A27" s="4" t="s">
        <v>39</v>
      </c>
      <c r="B27" s="2" t="str">
        <f>VLOOKUP(Inputs!$A27,'SOFR-OIS'!$B:$E,3,FALSE)&amp;VLOOKUP(Inputs!$A27,'SOFR-OIS'!$B:$E,4,FALSE)</f>
        <v>4Y</v>
      </c>
      <c r="C27" s="2" t="s">
        <v>4</v>
      </c>
      <c r="D27" s="7">
        <f>+VLOOKUP(Inputs!$A27,'SOFR-OIS'!$B:$E,2,FALSE)</f>
        <v>3.242</v>
      </c>
      <c r="E27" s="7"/>
      <c r="F27" s="7"/>
      <c r="G27" s="7"/>
      <c r="H27" s="7"/>
    </row>
    <row r="28" spans="1:8" ht="15" x14ac:dyDescent="0.2">
      <c r="A28" s="4" t="s">
        <v>40</v>
      </c>
      <c r="B28" s="2" t="str">
        <f>VLOOKUP(Inputs!$A28,'SOFR-OIS'!$B:$E,3,FALSE)&amp;VLOOKUP(Inputs!$A28,'SOFR-OIS'!$B:$E,4,FALSE)</f>
        <v>5Y</v>
      </c>
      <c r="C28" s="2" t="s">
        <v>4</v>
      </c>
      <c r="D28" s="7">
        <f>+VLOOKUP(Inputs!$A28,'SOFR-OIS'!$B:$E,2,FALSE)</f>
        <v>3.29</v>
      </c>
      <c r="E28" s="7"/>
      <c r="F28" s="7"/>
      <c r="G28" s="7"/>
      <c r="H28" s="7"/>
    </row>
    <row r="29" spans="1:8" ht="15" x14ac:dyDescent="0.2">
      <c r="A29" s="4" t="s">
        <v>41</v>
      </c>
      <c r="B29" s="2" t="str">
        <f>VLOOKUP(Inputs!$A29,'SOFR-OIS'!$B:$E,3,FALSE)&amp;VLOOKUP(Inputs!$A29,'SOFR-OIS'!$B:$E,4,FALSE)</f>
        <v>6Y</v>
      </c>
      <c r="C29" s="2" t="s">
        <v>4</v>
      </c>
      <c r="D29" s="7">
        <f>+VLOOKUP(Inputs!$A29,'SOFR-OIS'!$B:$E,2,FALSE)</f>
        <v>3.3519999999999999</v>
      </c>
      <c r="E29" s="7"/>
      <c r="F29" s="7"/>
      <c r="G29" s="7"/>
      <c r="H29" s="7"/>
    </row>
    <row r="30" spans="1:8" ht="15" x14ac:dyDescent="0.2">
      <c r="A30" s="4" t="s">
        <v>42</v>
      </c>
      <c r="B30" s="2" t="str">
        <f>VLOOKUP(Inputs!$A30,'SOFR-OIS'!$B:$E,3,FALSE)&amp;VLOOKUP(Inputs!$A30,'SOFR-OIS'!$B:$E,4,FALSE)</f>
        <v>7Y</v>
      </c>
      <c r="C30" s="2" t="s">
        <v>4</v>
      </c>
      <c r="D30" s="7">
        <f>+VLOOKUP(Inputs!$A30,'SOFR-OIS'!$B:$E,2,FALSE)</f>
        <v>3.4169999999999998</v>
      </c>
      <c r="E30" s="7"/>
      <c r="F30" s="7"/>
      <c r="G30" s="7"/>
      <c r="H30" s="7"/>
    </row>
    <row r="31" spans="1:8" ht="15" x14ac:dyDescent="0.2">
      <c r="A31" s="4" t="s">
        <v>43</v>
      </c>
      <c r="B31" s="2" t="str">
        <f>VLOOKUP(Inputs!$A31,'SOFR-OIS'!$B:$E,3,FALSE)&amp;VLOOKUP(Inputs!$A31,'SOFR-OIS'!$B:$E,4,FALSE)</f>
        <v>8Y</v>
      </c>
      <c r="C31" s="2" t="s">
        <v>4</v>
      </c>
      <c r="D31" s="7">
        <f>+VLOOKUP(Inputs!$A31,'SOFR-OIS'!$B:$E,2,FALSE)</f>
        <v>3.4809999999999999</v>
      </c>
      <c r="E31" s="7"/>
      <c r="F31" s="7"/>
      <c r="G31" s="7"/>
      <c r="H31" s="7"/>
    </row>
    <row r="32" spans="1:8" ht="15" x14ac:dyDescent="0.2">
      <c r="A32" s="4" t="s">
        <v>44</v>
      </c>
      <c r="B32" s="2" t="str">
        <f>VLOOKUP(Inputs!$A32,'SOFR-OIS'!$B:$E,3,FALSE)&amp;VLOOKUP(Inputs!$A32,'SOFR-OIS'!$B:$E,4,FALSE)</f>
        <v>9Y</v>
      </c>
      <c r="C32" s="2" t="s">
        <v>4</v>
      </c>
      <c r="D32" s="7">
        <f>+VLOOKUP(Inputs!$A32,'SOFR-OIS'!$B:$E,2,FALSE)</f>
        <v>3.5409999999999999</v>
      </c>
      <c r="E32" s="7"/>
      <c r="F32" s="7"/>
      <c r="G32" s="7"/>
      <c r="H32" s="7"/>
    </row>
    <row r="33" spans="1:8" ht="15" x14ac:dyDescent="0.2">
      <c r="A33" s="4" t="s">
        <v>45</v>
      </c>
      <c r="B33" s="2" t="str">
        <f>VLOOKUP(Inputs!$A33,'SOFR-OIS'!$B:$E,3,FALSE)&amp;VLOOKUP(Inputs!$A33,'SOFR-OIS'!$B:$E,4,FALSE)</f>
        <v>10Y</v>
      </c>
      <c r="C33" s="2" t="s">
        <v>4</v>
      </c>
      <c r="D33" s="7">
        <f>+VLOOKUP(Inputs!$A33,'SOFR-OIS'!$B:$E,2,FALSE)</f>
        <v>3.5979999999999999</v>
      </c>
      <c r="E33" s="7"/>
      <c r="F33" s="7"/>
      <c r="G33" s="7"/>
      <c r="H33" s="7"/>
    </row>
    <row r="34" spans="1:8" ht="15" x14ac:dyDescent="0.2">
      <c r="A34" s="4" t="s">
        <v>46</v>
      </c>
      <c r="B34" s="2" t="str">
        <f>VLOOKUP(Inputs!$A34,'SOFR-OIS'!$B:$E,3,FALSE)&amp;VLOOKUP(Inputs!$A34,'SOFR-OIS'!$B:$E,4,FALSE)</f>
        <v>12Y</v>
      </c>
      <c r="C34" s="2" t="s">
        <v>4</v>
      </c>
      <c r="D34" s="7">
        <f>+VLOOKUP(Inputs!$A34,'SOFR-OIS'!$B:$E,2,FALSE)</f>
        <v>3.7069999999999999</v>
      </c>
      <c r="E34" s="7"/>
      <c r="F34" s="7"/>
      <c r="G34" s="7"/>
      <c r="H34" s="7"/>
    </row>
    <row r="35" spans="1:8" ht="15" x14ac:dyDescent="0.2">
      <c r="A35" s="4" t="s">
        <v>47</v>
      </c>
      <c r="B35" s="2" t="str">
        <f>VLOOKUP(Inputs!$A35,'SOFR-OIS'!$B:$E,3,FALSE)&amp;VLOOKUP(Inputs!$A35,'SOFR-OIS'!$B:$E,4,FALSE)</f>
        <v>15Y</v>
      </c>
      <c r="C35" s="2" t="s">
        <v>4</v>
      </c>
      <c r="D35" s="7">
        <f>+VLOOKUP(Inputs!$A35,'SOFR-OIS'!$B:$E,2,FALSE)</f>
        <v>3.8370000000000002</v>
      </c>
      <c r="E35" s="7"/>
      <c r="F35" s="7"/>
      <c r="G35" s="7"/>
      <c r="H35" s="7"/>
    </row>
    <row r="36" spans="1:8" ht="15" x14ac:dyDescent="0.2">
      <c r="A36" s="4" t="s">
        <v>48</v>
      </c>
      <c r="B36" s="2" t="str">
        <f>VLOOKUP(Inputs!$A36,'SOFR-OIS'!$B:$E,3,FALSE)&amp;VLOOKUP(Inputs!$A36,'SOFR-OIS'!$B:$E,4,FALSE)</f>
        <v>20Y</v>
      </c>
      <c r="C36" s="2" t="s">
        <v>4</v>
      </c>
      <c r="D36" s="7">
        <f>+VLOOKUP(Inputs!$A36,'SOFR-OIS'!$B:$E,2,FALSE)</f>
        <v>3.9540000000000002</v>
      </c>
      <c r="E36" s="7"/>
      <c r="F36" s="7"/>
      <c r="G36" s="7"/>
      <c r="H36" s="7"/>
    </row>
    <row r="37" spans="1:8" ht="15" x14ac:dyDescent="0.2">
      <c r="A37" s="4" t="s">
        <v>49</v>
      </c>
      <c r="B37" s="2" t="str">
        <f>VLOOKUP(Inputs!$A37,'SOFR-OIS'!$B:$E,3,FALSE)&amp;VLOOKUP(Inputs!$A37,'SOFR-OIS'!$B:$E,4,FALSE)</f>
        <v>25Y</v>
      </c>
      <c r="C37" s="2" t="s">
        <v>4</v>
      </c>
      <c r="D37" s="7">
        <f>+VLOOKUP(Inputs!$A37,'SOFR-OIS'!$B:$E,2,FALSE)</f>
        <v>3.9820000000000002</v>
      </c>
      <c r="E37" s="7"/>
      <c r="F37" s="7"/>
      <c r="G37" s="7"/>
      <c r="H37" s="7"/>
    </row>
    <row r="38" spans="1:8" ht="15" x14ac:dyDescent="0.2">
      <c r="A38" s="4" t="s">
        <v>50</v>
      </c>
      <c r="B38" s="2" t="str">
        <f>VLOOKUP(Inputs!$A38,'SOFR-OIS'!$B:$E,3,FALSE)&amp;VLOOKUP(Inputs!$A38,'SOFR-OIS'!$B:$E,4,FALSE)</f>
        <v>30Y</v>
      </c>
      <c r="C38" s="2" t="s">
        <v>4</v>
      </c>
      <c r="D38" s="7">
        <f>+VLOOKUP(Inputs!$A38,'SOFR-OIS'!$B:$E,2,FALSE)</f>
        <v>3.9670000000000001</v>
      </c>
    </row>
    <row r="39" spans="1:8" ht="15" x14ac:dyDescent="0.2">
      <c r="A39" s="4" t="s">
        <v>51</v>
      </c>
      <c r="B39" s="2" t="str">
        <f>VLOOKUP(Inputs!$A39,'SOFR-OIS'!$B:$E,3,FALSE)&amp;VLOOKUP(Inputs!$A39,'SOFR-OIS'!$B:$E,4,FALSE)</f>
        <v>35Y</v>
      </c>
      <c r="C39" s="2" t="s">
        <v>4</v>
      </c>
      <c r="D39" s="7">
        <f>+VLOOKUP(Inputs!$A39,'SOFR-OIS'!$B:$E,2,FALSE)</f>
        <v>3.927</v>
      </c>
    </row>
    <row r="40" spans="1:8" ht="15" x14ac:dyDescent="0.2">
      <c r="A40" s="4" t="s">
        <v>52</v>
      </c>
      <c r="B40" s="2" t="str">
        <f>VLOOKUP(Inputs!$A40,'SOFR-OIS'!$B:$E,3,FALSE)&amp;VLOOKUP(Inputs!$A40,'SOFR-OIS'!$B:$E,4,FALSE)</f>
        <v>40Y</v>
      </c>
      <c r="C40" s="2" t="s">
        <v>4</v>
      </c>
      <c r="D40" s="7">
        <f>+VLOOKUP(Inputs!$A40,'SOFR-OIS'!$B:$E,2,FALSE)</f>
        <v>3.8769999999999998</v>
      </c>
    </row>
    <row r="41" spans="1:8" ht="15" x14ac:dyDescent="0.2">
      <c r="A41" s="4" t="s">
        <v>53</v>
      </c>
      <c r="B41" s="2" t="str">
        <f>VLOOKUP(Inputs!$A41,'SOFR-OIS'!$B:$E,3,FALSE)&amp;VLOOKUP(Inputs!$A41,'SOFR-OIS'!$B:$E,4,FALSE)</f>
        <v>45Y</v>
      </c>
      <c r="C41" s="2" t="s">
        <v>4</v>
      </c>
      <c r="D41" s="7">
        <f>+VLOOKUP(Inputs!$A41,'SOFR-OIS'!$B:$E,2,FALSE)</f>
        <v>3.8239999999999998</v>
      </c>
    </row>
    <row r="42" spans="1:8" ht="15" x14ac:dyDescent="0.2">
      <c r="A42" s="4" t="s">
        <v>54</v>
      </c>
      <c r="B42" s="2" t="str">
        <f>VLOOKUP(Inputs!$A42,'SOFR-OIS'!$B:$E,3,FALSE)&amp;VLOOKUP(Inputs!$A42,'SOFR-OIS'!$B:$E,4,FALSE)</f>
        <v>50Y</v>
      </c>
      <c r="C42" s="2" t="s">
        <v>4</v>
      </c>
      <c r="D42" s="7">
        <f>+VLOOKUP(Inputs!$A42,'SOFR-OIS'!$B:$E,2,FALSE)</f>
        <v>3.7770000000000001</v>
      </c>
    </row>
    <row r="43" spans="1:8" ht="15" x14ac:dyDescent="0.2">
      <c r="A43" s="4"/>
    </row>
    <row r="44" spans="1:8" ht="15" x14ac:dyDescent="0.2">
      <c r="A44" s="4"/>
    </row>
  </sheetData>
  <pageMargins left="0.7" right="0.7" top="0.75" bottom="0.75" header="0.3" footer="0.3"/>
  <pageSetup orientation="portrait" r:id="rId1"/>
  <headerFooter>
    <oddFooter>&amp;C_x000D_&amp;1#&amp;"Aptos"&amp;9&amp;K000000 Information Classification: GENERAL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678C6-94C0-4560-AE78-7FB608C4FF50}">
  <dimension ref="A1:E36"/>
  <sheetViews>
    <sheetView workbookViewId="0">
      <selection sqref="A1:E36"/>
    </sheetView>
  </sheetViews>
  <sheetFormatPr defaultRowHeight="12.75" x14ac:dyDescent="0.2"/>
  <cols>
    <col min="1" max="1" width="14.42578125" bestFit="1" customWidth="1"/>
    <col min="2" max="2" width="16.5703125" bestFit="1" customWidth="1"/>
    <col min="3" max="3" width="6" bestFit="1" customWidth="1"/>
    <col min="4" max="4" width="12.42578125" bestFit="1" customWidth="1"/>
    <col min="5" max="5" width="12.28515625" bestFit="1" customWidth="1"/>
  </cols>
  <sheetData>
    <row r="1" spans="1:5" x14ac:dyDescent="0.2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2">
      <c r="A2" s="9">
        <v>46076.625</v>
      </c>
      <c r="B2" t="s">
        <v>17</v>
      </c>
      <c r="C2">
        <v>3.6909999999999998</v>
      </c>
      <c r="D2">
        <v>1</v>
      </c>
      <c r="E2" t="s">
        <v>18</v>
      </c>
    </row>
    <row r="3" spans="1:5" x14ac:dyDescent="0.2">
      <c r="A3" s="9">
        <v>46076.625</v>
      </c>
      <c r="B3" t="s">
        <v>19</v>
      </c>
      <c r="C3">
        <v>3.677</v>
      </c>
      <c r="D3">
        <v>2</v>
      </c>
      <c r="E3" t="s">
        <v>18</v>
      </c>
    </row>
    <row r="4" spans="1:5" x14ac:dyDescent="0.2">
      <c r="A4" s="9">
        <v>46076.625</v>
      </c>
      <c r="B4" t="s">
        <v>20</v>
      </c>
      <c r="C4">
        <v>3.6739999999999999</v>
      </c>
      <c r="D4">
        <v>3</v>
      </c>
      <c r="E4" t="s">
        <v>18</v>
      </c>
    </row>
    <row r="5" spans="1:5" x14ac:dyDescent="0.2">
      <c r="A5" s="9">
        <v>46076.625</v>
      </c>
      <c r="B5" t="s">
        <v>21</v>
      </c>
      <c r="C5">
        <v>3.6739999999999999</v>
      </c>
      <c r="D5">
        <v>1</v>
      </c>
      <c r="E5" t="s">
        <v>22</v>
      </c>
    </row>
    <row r="6" spans="1:5" x14ac:dyDescent="0.2">
      <c r="A6" s="9">
        <v>46076.625</v>
      </c>
      <c r="B6" t="s">
        <v>23</v>
      </c>
      <c r="C6">
        <v>3.6779999999999999</v>
      </c>
      <c r="D6">
        <v>2</v>
      </c>
      <c r="E6" t="s">
        <v>22</v>
      </c>
    </row>
    <row r="7" spans="1:5" x14ac:dyDescent="0.2">
      <c r="A7" s="9">
        <v>46076.625</v>
      </c>
      <c r="B7" t="s">
        <v>24</v>
      </c>
      <c r="C7">
        <v>3.6720000000000002</v>
      </c>
      <c r="D7">
        <v>3</v>
      </c>
      <c r="E7" t="s">
        <v>22</v>
      </c>
    </row>
    <row r="8" spans="1:5" x14ac:dyDescent="0.2">
      <c r="A8" s="9">
        <v>46076.625</v>
      </c>
      <c r="B8" t="s">
        <v>25</v>
      </c>
      <c r="C8">
        <v>3.665</v>
      </c>
      <c r="D8">
        <v>4</v>
      </c>
      <c r="E8" t="s">
        <v>22</v>
      </c>
    </row>
    <row r="9" spans="1:5" x14ac:dyDescent="0.2">
      <c r="A9" s="9">
        <v>46076.625</v>
      </c>
      <c r="B9" t="s">
        <v>26</v>
      </c>
      <c r="C9">
        <v>3.6459999999999999</v>
      </c>
      <c r="D9">
        <v>5</v>
      </c>
      <c r="E9" t="s">
        <v>22</v>
      </c>
    </row>
    <row r="10" spans="1:5" x14ac:dyDescent="0.2">
      <c r="A10" s="9">
        <v>46076.625</v>
      </c>
      <c r="B10" t="s">
        <v>27</v>
      </c>
      <c r="C10">
        <v>3.62</v>
      </c>
      <c r="D10">
        <v>6</v>
      </c>
      <c r="E10" t="s">
        <v>22</v>
      </c>
    </row>
    <row r="11" spans="1:5" x14ac:dyDescent="0.2">
      <c r="A11" s="9">
        <v>46076.625</v>
      </c>
      <c r="B11" t="s">
        <v>28</v>
      </c>
      <c r="C11">
        <v>3.5960000000000001</v>
      </c>
      <c r="D11">
        <v>7</v>
      </c>
      <c r="E11" t="s">
        <v>22</v>
      </c>
    </row>
    <row r="12" spans="1:5" x14ac:dyDescent="0.2">
      <c r="A12" s="9">
        <v>46076.625</v>
      </c>
      <c r="B12" t="s">
        <v>29</v>
      </c>
      <c r="C12">
        <v>3.5659999999999998</v>
      </c>
      <c r="D12">
        <v>8</v>
      </c>
      <c r="E12" t="s">
        <v>22</v>
      </c>
    </row>
    <row r="13" spans="1:5" x14ac:dyDescent="0.2">
      <c r="A13" s="9">
        <v>46076.625</v>
      </c>
      <c r="B13" t="s">
        <v>30</v>
      </c>
      <c r="C13">
        <v>3.5350000000000001</v>
      </c>
      <c r="D13">
        <v>9</v>
      </c>
      <c r="E13" t="s">
        <v>22</v>
      </c>
    </row>
    <row r="14" spans="1:5" x14ac:dyDescent="0.2">
      <c r="A14" s="9">
        <v>46076.625</v>
      </c>
      <c r="B14" t="s">
        <v>31</v>
      </c>
      <c r="C14">
        <v>3.5030000000000001</v>
      </c>
      <c r="D14">
        <v>10</v>
      </c>
      <c r="E14" t="s">
        <v>22</v>
      </c>
    </row>
    <row r="15" spans="1:5" x14ac:dyDescent="0.2">
      <c r="A15" s="9">
        <v>46076.625</v>
      </c>
      <c r="B15" t="s">
        <v>32</v>
      </c>
      <c r="C15">
        <v>3.4780000000000002</v>
      </c>
      <c r="D15">
        <v>11</v>
      </c>
      <c r="E15" t="s">
        <v>22</v>
      </c>
    </row>
    <row r="16" spans="1:5" x14ac:dyDescent="0.2">
      <c r="A16" s="9">
        <v>46076.625</v>
      </c>
      <c r="B16" t="s">
        <v>33</v>
      </c>
      <c r="C16">
        <v>3.3690000000000002</v>
      </c>
      <c r="D16">
        <v>15</v>
      </c>
      <c r="E16" t="s">
        <v>22</v>
      </c>
    </row>
    <row r="17" spans="1:5" x14ac:dyDescent="0.2">
      <c r="A17" s="9">
        <v>46076.625</v>
      </c>
      <c r="B17" t="s">
        <v>34</v>
      </c>
      <c r="C17">
        <v>3.3109999999999999</v>
      </c>
      <c r="D17">
        <v>18</v>
      </c>
      <c r="E17" t="s">
        <v>22</v>
      </c>
    </row>
    <row r="18" spans="1:5" x14ac:dyDescent="0.2">
      <c r="A18" s="9">
        <v>46076.625</v>
      </c>
      <c r="B18" t="s">
        <v>35</v>
      </c>
      <c r="C18">
        <v>3.452</v>
      </c>
      <c r="D18">
        <v>1</v>
      </c>
      <c r="E18" t="s">
        <v>36</v>
      </c>
    </row>
    <row r="19" spans="1:5" x14ac:dyDescent="0.2">
      <c r="A19" s="9">
        <v>46076.625</v>
      </c>
      <c r="B19" t="s">
        <v>37</v>
      </c>
      <c r="C19">
        <v>3.25</v>
      </c>
      <c r="D19">
        <v>2</v>
      </c>
      <c r="E19" t="s">
        <v>36</v>
      </c>
    </row>
    <row r="20" spans="1:5" x14ac:dyDescent="0.2">
      <c r="A20" s="9">
        <v>46076.625</v>
      </c>
      <c r="B20" t="s">
        <v>38</v>
      </c>
      <c r="C20">
        <v>3.2170000000000001</v>
      </c>
      <c r="D20">
        <v>3</v>
      </c>
      <c r="E20" t="s">
        <v>36</v>
      </c>
    </row>
    <row r="21" spans="1:5" x14ac:dyDescent="0.2">
      <c r="A21" s="9">
        <v>46076.625</v>
      </c>
      <c r="B21" t="s">
        <v>39</v>
      </c>
      <c r="C21">
        <v>3.242</v>
      </c>
      <c r="D21">
        <v>4</v>
      </c>
      <c r="E21" t="s">
        <v>36</v>
      </c>
    </row>
    <row r="22" spans="1:5" x14ac:dyDescent="0.2">
      <c r="A22" s="9">
        <v>46076.625</v>
      </c>
      <c r="B22" t="s">
        <v>40</v>
      </c>
      <c r="C22">
        <v>3.29</v>
      </c>
      <c r="D22">
        <v>5</v>
      </c>
      <c r="E22" t="s">
        <v>36</v>
      </c>
    </row>
    <row r="23" spans="1:5" x14ac:dyDescent="0.2">
      <c r="A23" s="9">
        <v>46076.625</v>
      </c>
      <c r="B23" t="s">
        <v>41</v>
      </c>
      <c r="C23">
        <v>3.3519999999999999</v>
      </c>
      <c r="D23">
        <v>6</v>
      </c>
      <c r="E23" t="s">
        <v>36</v>
      </c>
    </row>
    <row r="24" spans="1:5" x14ac:dyDescent="0.2">
      <c r="A24" s="9">
        <v>46076.625</v>
      </c>
      <c r="B24" t="s">
        <v>42</v>
      </c>
      <c r="C24">
        <v>3.4169999999999998</v>
      </c>
      <c r="D24">
        <v>7</v>
      </c>
      <c r="E24" t="s">
        <v>36</v>
      </c>
    </row>
    <row r="25" spans="1:5" x14ac:dyDescent="0.2">
      <c r="A25" s="9">
        <v>46076.625</v>
      </c>
      <c r="B25" t="s">
        <v>43</v>
      </c>
      <c r="C25">
        <v>3.4809999999999999</v>
      </c>
      <c r="D25">
        <v>8</v>
      </c>
      <c r="E25" t="s">
        <v>36</v>
      </c>
    </row>
    <row r="26" spans="1:5" x14ac:dyDescent="0.2">
      <c r="A26" s="9">
        <v>46076.625</v>
      </c>
      <c r="B26" t="s">
        <v>44</v>
      </c>
      <c r="C26">
        <v>3.5409999999999999</v>
      </c>
      <c r="D26">
        <v>9</v>
      </c>
      <c r="E26" t="s">
        <v>36</v>
      </c>
    </row>
    <row r="27" spans="1:5" x14ac:dyDescent="0.2">
      <c r="A27" s="9">
        <v>46076.625</v>
      </c>
      <c r="B27" t="s">
        <v>45</v>
      </c>
      <c r="C27">
        <v>3.5979999999999999</v>
      </c>
      <c r="D27">
        <v>10</v>
      </c>
      <c r="E27" t="s">
        <v>36</v>
      </c>
    </row>
    <row r="28" spans="1:5" x14ac:dyDescent="0.2">
      <c r="A28" s="9">
        <v>46076.625</v>
      </c>
      <c r="B28" t="s">
        <v>46</v>
      </c>
      <c r="C28">
        <v>3.7069999999999999</v>
      </c>
      <c r="D28">
        <v>12</v>
      </c>
      <c r="E28" t="s">
        <v>36</v>
      </c>
    </row>
    <row r="29" spans="1:5" x14ac:dyDescent="0.2">
      <c r="A29" s="9">
        <v>46076.625</v>
      </c>
      <c r="B29" t="s">
        <v>47</v>
      </c>
      <c r="C29">
        <v>3.8370000000000002</v>
      </c>
      <c r="D29">
        <v>15</v>
      </c>
      <c r="E29" t="s">
        <v>36</v>
      </c>
    </row>
    <row r="30" spans="1:5" x14ac:dyDescent="0.2">
      <c r="A30" s="9">
        <v>46076.625</v>
      </c>
      <c r="B30" t="s">
        <v>48</v>
      </c>
      <c r="C30">
        <v>3.9540000000000002</v>
      </c>
      <c r="D30">
        <v>20</v>
      </c>
      <c r="E30" t="s">
        <v>36</v>
      </c>
    </row>
    <row r="31" spans="1:5" x14ac:dyDescent="0.2">
      <c r="A31" s="9">
        <v>46076.625</v>
      </c>
      <c r="B31" t="s">
        <v>49</v>
      </c>
      <c r="C31">
        <v>3.9820000000000002</v>
      </c>
      <c r="D31">
        <v>25</v>
      </c>
      <c r="E31" t="s">
        <v>36</v>
      </c>
    </row>
    <row r="32" spans="1:5" x14ac:dyDescent="0.2">
      <c r="A32" s="9">
        <v>46076.625</v>
      </c>
      <c r="B32" t="s">
        <v>50</v>
      </c>
      <c r="C32">
        <v>3.9670000000000001</v>
      </c>
      <c r="D32">
        <v>30</v>
      </c>
      <c r="E32" t="s">
        <v>36</v>
      </c>
    </row>
    <row r="33" spans="1:5" x14ac:dyDescent="0.2">
      <c r="A33" s="9">
        <v>46076.625</v>
      </c>
      <c r="B33" t="s">
        <v>51</v>
      </c>
      <c r="C33">
        <v>3.927</v>
      </c>
      <c r="D33">
        <v>35</v>
      </c>
      <c r="E33" t="s">
        <v>36</v>
      </c>
    </row>
    <row r="34" spans="1:5" x14ac:dyDescent="0.2">
      <c r="A34" s="9">
        <v>46076.625</v>
      </c>
      <c r="B34" t="s">
        <v>52</v>
      </c>
      <c r="C34">
        <v>3.8769999999999998</v>
      </c>
      <c r="D34">
        <v>40</v>
      </c>
      <c r="E34" t="s">
        <v>36</v>
      </c>
    </row>
    <row r="35" spans="1:5" x14ac:dyDescent="0.2">
      <c r="A35" s="9">
        <v>46076.625</v>
      </c>
      <c r="B35" t="s">
        <v>53</v>
      </c>
      <c r="C35">
        <v>3.8239999999999998</v>
      </c>
      <c r="D35">
        <v>45</v>
      </c>
      <c r="E35" t="s">
        <v>36</v>
      </c>
    </row>
    <row r="36" spans="1:5" x14ac:dyDescent="0.2">
      <c r="A36" s="9">
        <v>46076.625</v>
      </c>
      <c r="B36" t="s">
        <v>54</v>
      </c>
      <c r="C36">
        <v>3.7770000000000001</v>
      </c>
      <c r="D36">
        <v>50</v>
      </c>
      <c r="E36" t="s">
        <v>36</v>
      </c>
    </row>
  </sheetData>
  <pageMargins left="0.7" right="0.7" top="0.75" bottom="0.75" header="0.3" footer="0.3"/>
  <headerFooter>
    <oddFooter>&amp;C_x000D_&amp;1#&amp;"Aptos"&amp;9&amp;K000000 Information Classification: GENERAL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88CD8-B3A5-4A08-B9B3-59684A3F661B}">
  <dimension ref="A1:E25"/>
  <sheetViews>
    <sheetView workbookViewId="0">
      <selection sqref="A1:E25"/>
    </sheetView>
  </sheetViews>
  <sheetFormatPr defaultRowHeight="12.75" x14ac:dyDescent="0.2"/>
  <cols>
    <col min="1" max="1" width="10.7109375" bestFit="1" customWidth="1"/>
    <col min="2" max="2" width="17.85546875" bestFit="1" customWidth="1"/>
    <col min="3" max="3" width="25" bestFit="1" customWidth="1"/>
    <col min="4" max="4" width="15" bestFit="1" customWidth="1"/>
    <col min="5" max="5" width="8" bestFit="1" customWidth="1"/>
  </cols>
  <sheetData>
    <row r="1" spans="1:5" x14ac:dyDescent="0.2">
      <c r="A1" t="s">
        <v>55</v>
      </c>
      <c r="B1" t="s">
        <v>56</v>
      </c>
      <c r="C1" t="s">
        <v>57</v>
      </c>
      <c r="D1" t="s">
        <v>58</v>
      </c>
      <c r="E1" t="s">
        <v>59</v>
      </c>
    </row>
    <row r="2" spans="1:5" x14ac:dyDescent="0.2">
      <c r="A2" t="s">
        <v>60</v>
      </c>
      <c r="B2" s="9">
        <v>46098</v>
      </c>
      <c r="C2" s="10">
        <v>45992</v>
      </c>
      <c r="D2" s="9">
        <v>46076</v>
      </c>
      <c r="E2">
        <v>96.31</v>
      </c>
    </row>
    <row r="3" spans="1:5" x14ac:dyDescent="0.2">
      <c r="A3" t="s">
        <v>61</v>
      </c>
      <c r="B3" s="9">
        <v>46189</v>
      </c>
      <c r="C3" s="10">
        <v>46082</v>
      </c>
      <c r="D3" s="9">
        <v>46076</v>
      </c>
      <c r="E3">
        <v>96.342500000000001</v>
      </c>
    </row>
    <row r="4" spans="1:5" x14ac:dyDescent="0.2">
      <c r="A4" t="s">
        <v>62</v>
      </c>
      <c r="B4" s="9">
        <v>46280</v>
      </c>
      <c r="C4" s="10">
        <v>46174</v>
      </c>
      <c r="D4" s="9">
        <v>46076</v>
      </c>
      <c r="E4">
        <v>96.515000000000001</v>
      </c>
    </row>
    <row r="5" spans="1:5" x14ac:dyDescent="0.2">
      <c r="A5" t="s">
        <v>63</v>
      </c>
      <c r="B5" s="9">
        <v>46371</v>
      </c>
      <c r="C5" s="10">
        <v>46266</v>
      </c>
      <c r="D5" s="9">
        <v>46076</v>
      </c>
      <c r="E5">
        <v>96.75</v>
      </c>
    </row>
    <row r="6" spans="1:5" x14ac:dyDescent="0.2">
      <c r="A6" t="s">
        <v>64</v>
      </c>
      <c r="B6" s="9">
        <v>46462</v>
      </c>
      <c r="C6" s="10">
        <v>46357</v>
      </c>
      <c r="D6" s="9">
        <v>46076</v>
      </c>
      <c r="E6">
        <v>96.9</v>
      </c>
    </row>
    <row r="7" spans="1:5" x14ac:dyDescent="0.2">
      <c r="A7" t="s">
        <v>65</v>
      </c>
      <c r="B7" s="9">
        <v>46553</v>
      </c>
      <c r="C7" s="10">
        <v>46447</v>
      </c>
      <c r="D7" s="9">
        <v>46076</v>
      </c>
      <c r="E7">
        <v>96.97</v>
      </c>
    </row>
    <row r="8" spans="1:5" x14ac:dyDescent="0.2">
      <c r="A8" t="s">
        <v>66</v>
      </c>
      <c r="B8" s="9">
        <v>46644</v>
      </c>
      <c r="C8" s="10">
        <v>46539</v>
      </c>
      <c r="D8" s="9">
        <v>46076</v>
      </c>
      <c r="E8">
        <v>96.995000000000005</v>
      </c>
    </row>
    <row r="9" spans="1:5" x14ac:dyDescent="0.2">
      <c r="A9" t="s">
        <v>67</v>
      </c>
      <c r="B9" s="9">
        <v>46735</v>
      </c>
      <c r="C9" s="10">
        <v>46631</v>
      </c>
      <c r="D9" s="9">
        <v>46076</v>
      </c>
      <c r="E9">
        <v>96.99</v>
      </c>
    </row>
    <row r="10" spans="1:5" x14ac:dyDescent="0.2">
      <c r="A10" t="s">
        <v>68</v>
      </c>
      <c r="B10" s="9">
        <v>46826</v>
      </c>
      <c r="C10" s="10">
        <v>46722</v>
      </c>
      <c r="D10" s="9">
        <v>46076</v>
      </c>
      <c r="E10">
        <v>96.97</v>
      </c>
    </row>
    <row r="11" spans="1:5" x14ac:dyDescent="0.2">
      <c r="A11" t="s">
        <v>69</v>
      </c>
      <c r="B11" s="9">
        <v>46924</v>
      </c>
      <c r="C11" s="10">
        <v>46813</v>
      </c>
      <c r="D11" s="9">
        <v>46076</v>
      </c>
      <c r="E11">
        <v>96.935000000000002</v>
      </c>
    </row>
    <row r="12" spans="1:5" x14ac:dyDescent="0.2">
      <c r="A12" t="s">
        <v>70</v>
      </c>
      <c r="B12" s="9">
        <v>47015</v>
      </c>
      <c r="C12" s="10">
        <v>46905</v>
      </c>
      <c r="D12" s="9">
        <v>46076</v>
      </c>
      <c r="E12">
        <v>96.89</v>
      </c>
    </row>
    <row r="13" spans="1:5" x14ac:dyDescent="0.2">
      <c r="A13" t="s">
        <v>71</v>
      </c>
      <c r="B13" s="9">
        <v>47106</v>
      </c>
      <c r="C13" s="10">
        <v>46997</v>
      </c>
      <c r="D13" s="9">
        <v>46076</v>
      </c>
      <c r="E13">
        <v>96.84</v>
      </c>
    </row>
    <row r="14" spans="1:5" x14ac:dyDescent="0.2">
      <c r="A14" t="s">
        <v>72</v>
      </c>
      <c r="B14" s="9">
        <v>47197</v>
      </c>
      <c r="C14" s="10">
        <v>47088</v>
      </c>
      <c r="D14" s="9">
        <v>46076</v>
      </c>
      <c r="E14">
        <v>96.79</v>
      </c>
    </row>
    <row r="15" spans="1:5" x14ac:dyDescent="0.2">
      <c r="A15" t="s">
        <v>73</v>
      </c>
      <c r="B15" s="9">
        <v>47287</v>
      </c>
      <c r="C15" s="10">
        <v>47178</v>
      </c>
      <c r="D15" s="9">
        <v>46076</v>
      </c>
      <c r="E15">
        <v>96.74</v>
      </c>
    </row>
    <row r="16" spans="1:5" x14ac:dyDescent="0.2">
      <c r="A16" t="s">
        <v>74</v>
      </c>
      <c r="B16" s="9">
        <v>47379</v>
      </c>
      <c r="C16" s="10">
        <v>47270</v>
      </c>
      <c r="D16" s="9">
        <v>46076</v>
      </c>
      <c r="E16">
        <v>96.69</v>
      </c>
    </row>
    <row r="17" spans="1:5" x14ac:dyDescent="0.2">
      <c r="A17" t="s">
        <v>75</v>
      </c>
      <c r="B17" s="9">
        <v>47470</v>
      </c>
      <c r="C17" s="10">
        <v>47362</v>
      </c>
      <c r="D17" s="9">
        <v>46076</v>
      </c>
      <c r="E17">
        <v>96.644999999999996</v>
      </c>
    </row>
    <row r="18" spans="1:5" x14ac:dyDescent="0.2">
      <c r="A18" t="s">
        <v>76</v>
      </c>
      <c r="B18" s="9">
        <v>47561</v>
      </c>
      <c r="C18" s="10">
        <v>47453</v>
      </c>
      <c r="D18" s="9">
        <v>46076</v>
      </c>
      <c r="E18">
        <v>96.6</v>
      </c>
    </row>
    <row r="19" spans="1:5" x14ac:dyDescent="0.2">
      <c r="A19" t="s">
        <v>77</v>
      </c>
      <c r="B19" s="9">
        <v>47652</v>
      </c>
      <c r="C19" s="10">
        <v>47543</v>
      </c>
      <c r="D19" s="9">
        <v>46076</v>
      </c>
      <c r="E19">
        <v>96.55</v>
      </c>
    </row>
    <row r="20" spans="1:5" x14ac:dyDescent="0.2">
      <c r="A20" t="s">
        <v>78</v>
      </c>
      <c r="B20" s="9">
        <v>47743</v>
      </c>
      <c r="C20" s="10">
        <v>47635</v>
      </c>
      <c r="D20" s="9">
        <v>46076</v>
      </c>
      <c r="E20">
        <v>96.5</v>
      </c>
    </row>
    <row r="21" spans="1:5" x14ac:dyDescent="0.2">
      <c r="A21" t="s">
        <v>79</v>
      </c>
      <c r="B21" s="9">
        <v>47834</v>
      </c>
      <c r="C21" s="10">
        <v>47727</v>
      </c>
      <c r="D21" s="9">
        <v>46076</v>
      </c>
      <c r="E21">
        <v>96.45</v>
      </c>
    </row>
    <row r="22" spans="1:5" x14ac:dyDescent="0.2">
      <c r="A22" t="s">
        <v>80</v>
      </c>
      <c r="B22" s="9">
        <v>47925</v>
      </c>
      <c r="C22" s="10">
        <v>47818</v>
      </c>
      <c r="D22" s="9">
        <v>46076</v>
      </c>
      <c r="E22">
        <v>96.4</v>
      </c>
    </row>
    <row r="23" spans="1:5" x14ac:dyDescent="0.2">
      <c r="A23" t="s">
        <v>81</v>
      </c>
      <c r="B23" s="9">
        <v>48016</v>
      </c>
      <c r="C23" s="10">
        <v>47908</v>
      </c>
      <c r="D23" s="9">
        <v>46076</v>
      </c>
      <c r="E23">
        <v>96.35</v>
      </c>
    </row>
    <row r="24" spans="1:5" x14ac:dyDescent="0.2">
      <c r="A24" t="s">
        <v>82</v>
      </c>
      <c r="B24" s="9">
        <v>48107</v>
      </c>
      <c r="C24" s="10">
        <v>48000</v>
      </c>
      <c r="D24" s="9">
        <v>46076</v>
      </c>
      <c r="E24">
        <v>96.295000000000002</v>
      </c>
    </row>
    <row r="25" spans="1:5" x14ac:dyDescent="0.2">
      <c r="A25" t="s">
        <v>83</v>
      </c>
      <c r="B25" s="9">
        <v>48198</v>
      </c>
      <c r="C25" s="10">
        <v>48092</v>
      </c>
      <c r="D25" s="9">
        <v>46076</v>
      </c>
      <c r="E25">
        <v>96.245000000000005</v>
      </c>
    </row>
  </sheetData>
  <pageMargins left="0.7" right="0.7" top="0.75" bottom="0.75" header="0.3" footer="0.3"/>
  <headerFooter>
    <oddFooter>&amp;C_x000D_&amp;1#&amp;"Aptos"&amp;9&amp;K000000 Information Classification: GENERAL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EBEE4-6F4E-4290-9E7F-6AB8D4EADF83}">
  <dimension ref="A1:C1534"/>
  <sheetViews>
    <sheetView topLeftCell="A1518" workbookViewId="0">
      <selection activeCell="C1533" sqref="C1533:C1534"/>
    </sheetView>
  </sheetViews>
  <sheetFormatPr defaultRowHeight="12.75" x14ac:dyDescent="0.2"/>
  <cols>
    <col min="1" max="1" width="13.140625" style="11" bestFit="1" customWidth="1"/>
    <col min="2" max="2" width="6.7109375" style="6" customWidth="1"/>
    <col min="3" max="3" width="10.42578125" style="11" bestFit="1" customWidth="1"/>
  </cols>
  <sheetData>
    <row r="1" spans="1:3" x14ac:dyDescent="0.2">
      <c r="A1" s="11" t="s">
        <v>12</v>
      </c>
      <c r="B1" s="6" t="s">
        <v>6</v>
      </c>
      <c r="C1" s="11" t="s">
        <v>87</v>
      </c>
    </row>
    <row r="2" spans="1:3" x14ac:dyDescent="0.2">
      <c r="A2" s="11">
        <v>43832.332071759258</v>
      </c>
      <c r="B2" s="6">
        <v>1.54</v>
      </c>
      <c r="C2" s="11">
        <f>WORKDAY(INT($A2),1,holidays_US!$A:$A)</f>
        <v>43833</v>
      </c>
    </row>
    <row r="3" spans="1:3" x14ac:dyDescent="0.2">
      <c r="A3" s="11">
        <v>43833.332789351851</v>
      </c>
      <c r="B3" s="6">
        <v>1.55</v>
      </c>
      <c r="C3" s="11">
        <f>WORKDAY(INT($A3),1,holidays_US!$A:$A)</f>
        <v>43836</v>
      </c>
    </row>
    <row r="4" spans="1:3" x14ac:dyDescent="0.2">
      <c r="A4" s="11">
        <v>43836.332800925928</v>
      </c>
      <c r="B4" s="6">
        <v>1.55</v>
      </c>
      <c r="C4" s="11">
        <f>WORKDAY(INT($A4),1,holidays_US!$A:$A)</f>
        <v>43837</v>
      </c>
    </row>
    <row r="5" spans="1:3" x14ac:dyDescent="0.2">
      <c r="A5" s="11">
        <v>43837.332824074074</v>
      </c>
      <c r="B5" s="6">
        <v>1.56</v>
      </c>
      <c r="C5" s="11">
        <f>WORKDAY(INT($A5),1,holidays_US!$A:$A)</f>
        <v>43838</v>
      </c>
    </row>
    <row r="6" spans="1:3" x14ac:dyDescent="0.2">
      <c r="A6" s="11">
        <v>43838.332696759258</v>
      </c>
      <c r="B6" s="6">
        <v>1.55</v>
      </c>
      <c r="C6" s="11">
        <f>WORKDAY(INT($A6),1,holidays_US!$A:$A)</f>
        <v>43839</v>
      </c>
    </row>
    <row r="7" spans="1:3" x14ac:dyDescent="0.2">
      <c r="A7" s="11">
        <v>43839.332708333335</v>
      </c>
      <c r="B7" s="6">
        <v>1.55</v>
      </c>
      <c r="C7" s="11">
        <f>WORKDAY(INT($A7),1,holidays_US!$A:$A)</f>
        <v>43840</v>
      </c>
    </row>
    <row r="8" spans="1:3" x14ac:dyDescent="0.2">
      <c r="A8" s="11">
        <v>43840.332766203705</v>
      </c>
      <c r="B8" s="6">
        <v>1.55</v>
      </c>
      <c r="C8" s="11">
        <f>WORKDAY(INT($A8),1,holidays_US!$A:$A)</f>
        <v>43843</v>
      </c>
    </row>
    <row r="9" spans="1:3" x14ac:dyDescent="0.2">
      <c r="A9" s="11">
        <v>43843.332754629628</v>
      </c>
      <c r="B9" s="6">
        <v>1.54</v>
      </c>
      <c r="C9" s="11">
        <f>WORKDAY(INT($A9),1,holidays_US!$A:$A)</f>
        <v>43844</v>
      </c>
    </row>
    <row r="10" spans="1:3" x14ac:dyDescent="0.2">
      <c r="A10" s="11">
        <v>43844.332789351851</v>
      </c>
      <c r="B10" s="6">
        <v>1.55</v>
      </c>
      <c r="C10" s="11">
        <f>WORKDAY(INT($A10),1,holidays_US!$A:$A)</f>
        <v>43845</v>
      </c>
    </row>
    <row r="11" spans="1:3" x14ac:dyDescent="0.2">
      <c r="A11" s="11">
        <v>43845.332986111112</v>
      </c>
      <c r="B11" s="6">
        <v>1.56</v>
      </c>
      <c r="C11" s="11">
        <f>WORKDAY(INT($A11),1,holidays_US!$A:$A)</f>
        <v>43846</v>
      </c>
    </row>
    <row r="12" spans="1:3" x14ac:dyDescent="0.2">
      <c r="A12" s="11">
        <v>43846.332731481481</v>
      </c>
      <c r="B12" s="6">
        <v>1.55</v>
      </c>
      <c r="C12" s="11">
        <f>WORKDAY(INT($A12),1,holidays_US!$A:$A)</f>
        <v>43847</v>
      </c>
    </row>
    <row r="13" spans="1:3" x14ac:dyDescent="0.2">
      <c r="A13" s="11">
        <v>43847.332835648151</v>
      </c>
      <c r="B13" s="6">
        <v>1.54</v>
      </c>
      <c r="C13" s="11">
        <f>WORKDAY(INT($A13),1,holidays_US!$A:$A)</f>
        <v>43851</v>
      </c>
    </row>
    <row r="14" spans="1:3" x14ac:dyDescent="0.2">
      <c r="A14" s="11">
        <v>43851.332754629628</v>
      </c>
      <c r="B14" s="6">
        <v>1.54</v>
      </c>
      <c r="C14" s="11">
        <f>WORKDAY(INT($A14),1,holidays_US!$A:$A)</f>
        <v>43852</v>
      </c>
    </row>
    <row r="15" spans="1:3" x14ac:dyDescent="0.2">
      <c r="A15" s="11">
        <v>43852.332743055558</v>
      </c>
      <c r="B15" s="6">
        <v>1.54</v>
      </c>
      <c r="C15" s="11">
        <f>WORKDAY(INT($A15),1,holidays_US!$A:$A)</f>
        <v>43853</v>
      </c>
    </row>
    <row r="16" spans="1:3" x14ac:dyDescent="0.2">
      <c r="A16" s="11">
        <v>43853.333148148151</v>
      </c>
      <c r="B16" s="6">
        <v>1.54</v>
      </c>
      <c r="C16" s="11">
        <f>WORKDAY(INT($A16),1,holidays_US!$A:$A)</f>
        <v>43854</v>
      </c>
    </row>
    <row r="17" spans="1:3" x14ac:dyDescent="0.2">
      <c r="A17" s="11">
        <v>43854.332719907405</v>
      </c>
      <c r="B17" s="6">
        <v>1.53</v>
      </c>
      <c r="C17" s="11">
        <f>WORKDAY(INT($A17),1,holidays_US!$A:$A)</f>
        <v>43857</v>
      </c>
    </row>
    <row r="18" spans="1:3" x14ac:dyDescent="0.2">
      <c r="A18" s="11">
        <v>43857.332754629628</v>
      </c>
      <c r="B18" s="6">
        <v>1.53</v>
      </c>
      <c r="C18" s="11">
        <f>WORKDAY(INT($A18),1,holidays_US!$A:$A)</f>
        <v>43858</v>
      </c>
    </row>
    <row r="19" spans="1:3" x14ac:dyDescent="0.2">
      <c r="A19" s="11">
        <v>43858.332731481481</v>
      </c>
      <c r="B19" s="6">
        <v>1.53</v>
      </c>
      <c r="C19" s="11">
        <f>WORKDAY(INT($A19),1,holidays_US!$A:$A)</f>
        <v>43859</v>
      </c>
    </row>
    <row r="20" spans="1:3" x14ac:dyDescent="0.2">
      <c r="A20" s="11">
        <v>43859.332719907405</v>
      </c>
      <c r="B20" s="6">
        <v>1.53</v>
      </c>
      <c r="C20" s="11">
        <f>WORKDAY(INT($A20),1,holidays_US!$A:$A)</f>
        <v>43860</v>
      </c>
    </row>
    <row r="21" spans="1:3" x14ac:dyDescent="0.2">
      <c r="A21" s="11">
        <v>43860.332824074074</v>
      </c>
      <c r="B21" s="6">
        <v>1.58</v>
      </c>
      <c r="C21" s="11">
        <f>WORKDAY(INT($A21),1,holidays_US!$A:$A)</f>
        <v>43861</v>
      </c>
    </row>
    <row r="22" spans="1:3" x14ac:dyDescent="0.2">
      <c r="A22" s="11">
        <v>43861.332754629628</v>
      </c>
      <c r="B22" s="6">
        <v>1.6</v>
      </c>
      <c r="C22" s="11">
        <f>WORKDAY(INT($A22),1,holidays_US!$A:$A)</f>
        <v>43864</v>
      </c>
    </row>
    <row r="23" spans="1:3" x14ac:dyDescent="0.2">
      <c r="A23" s="11">
        <v>43864.332754629628</v>
      </c>
      <c r="B23" s="6">
        <v>1.59</v>
      </c>
      <c r="C23" s="11">
        <f>WORKDAY(INT($A23),1,holidays_US!$A:$A)</f>
        <v>43865</v>
      </c>
    </row>
    <row r="24" spans="1:3" x14ac:dyDescent="0.2">
      <c r="A24" s="11">
        <v>43865.332731481481</v>
      </c>
      <c r="B24" s="6">
        <v>1.6</v>
      </c>
      <c r="C24" s="11">
        <f>WORKDAY(INT($A24),1,holidays_US!$A:$A)</f>
        <v>43866</v>
      </c>
    </row>
    <row r="25" spans="1:3" x14ac:dyDescent="0.2">
      <c r="A25" s="11">
        <v>43866.332754629628</v>
      </c>
      <c r="B25" s="6">
        <v>1.59</v>
      </c>
      <c r="C25" s="11">
        <f>WORKDAY(INT($A25),1,holidays_US!$A:$A)</f>
        <v>43867</v>
      </c>
    </row>
    <row r="26" spans="1:3" x14ac:dyDescent="0.2">
      <c r="A26" s="11">
        <v>43867.332708333335</v>
      </c>
      <c r="B26" s="6">
        <v>1.59</v>
      </c>
      <c r="C26" s="11">
        <f>WORKDAY(INT($A26),1,holidays_US!$A:$A)</f>
        <v>43868</v>
      </c>
    </row>
    <row r="27" spans="1:3" x14ac:dyDescent="0.2">
      <c r="A27" s="11">
        <v>43868.332824074074</v>
      </c>
      <c r="B27" s="6">
        <v>1.58</v>
      </c>
      <c r="C27" s="11">
        <f>WORKDAY(INT($A27),1,holidays_US!$A:$A)</f>
        <v>43871</v>
      </c>
    </row>
    <row r="28" spans="1:3" x14ac:dyDescent="0.2">
      <c r="A28" s="11">
        <v>43871.33289351852</v>
      </c>
      <c r="B28" s="6">
        <v>1.58</v>
      </c>
      <c r="C28" s="11">
        <f>WORKDAY(INT($A28),1,holidays_US!$A:$A)</f>
        <v>43872</v>
      </c>
    </row>
    <row r="29" spans="1:3" x14ac:dyDescent="0.2">
      <c r="A29" s="11">
        <v>43872.332719907405</v>
      </c>
      <c r="B29" s="6">
        <v>1.58</v>
      </c>
      <c r="C29" s="11">
        <f>WORKDAY(INT($A29),1,holidays_US!$A:$A)</f>
        <v>43873</v>
      </c>
    </row>
    <row r="30" spans="1:3" x14ac:dyDescent="0.2">
      <c r="A30" s="11">
        <v>43873.332881944443</v>
      </c>
      <c r="B30" s="6">
        <v>1.57</v>
      </c>
      <c r="C30" s="11">
        <f>WORKDAY(INT($A30),1,holidays_US!$A:$A)</f>
        <v>43874</v>
      </c>
    </row>
    <row r="31" spans="1:3" x14ac:dyDescent="0.2">
      <c r="A31" s="11">
        <v>43874.332719907405</v>
      </c>
      <c r="B31" s="6">
        <v>1.57</v>
      </c>
      <c r="C31" s="11">
        <f>WORKDAY(INT($A31),1,holidays_US!$A:$A)</f>
        <v>43875</v>
      </c>
    </row>
    <row r="32" spans="1:3" x14ac:dyDescent="0.2">
      <c r="A32" s="11">
        <v>43875.332870370374</v>
      </c>
      <c r="B32" s="6">
        <v>1.58</v>
      </c>
      <c r="C32" s="11">
        <f>WORKDAY(INT($A32),1,holidays_US!$A:$A)</f>
        <v>43879</v>
      </c>
    </row>
    <row r="33" spans="1:3" x14ac:dyDescent="0.2">
      <c r="A33" s="11">
        <v>43879.333252314813</v>
      </c>
      <c r="B33" s="6">
        <v>1.6</v>
      </c>
      <c r="C33" s="11">
        <f>WORKDAY(INT($A33),1,holidays_US!$A:$A)</f>
        <v>43880</v>
      </c>
    </row>
    <row r="34" spans="1:3" x14ac:dyDescent="0.2">
      <c r="A34" s="11">
        <v>43880.333020833335</v>
      </c>
      <c r="B34" s="6">
        <v>1.59</v>
      </c>
      <c r="C34" s="11">
        <f>WORKDAY(INT($A34),1,holidays_US!$A:$A)</f>
        <v>43881</v>
      </c>
    </row>
    <row r="35" spans="1:3" x14ac:dyDescent="0.2">
      <c r="A35" s="11">
        <v>43881.333032407405</v>
      </c>
      <c r="B35" s="6">
        <v>1.6</v>
      </c>
      <c r="C35" s="11">
        <f>WORKDAY(INT($A35),1,holidays_US!$A:$A)</f>
        <v>43882</v>
      </c>
    </row>
    <row r="36" spans="1:3" x14ac:dyDescent="0.2">
      <c r="A36" s="11">
        <v>43882.332708333335</v>
      </c>
      <c r="B36" s="6">
        <v>1.58</v>
      </c>
      <c r="C36" s="11">
        <f>WORKDAY(INT($A36),1,holidays_US!$A:$A)</f>
        <v>43885</v>
      </c>
    </row>
    <row r="37" spans="1:3" x14ac:dyDescent="0.2">
      <c r="A37" s="11">
        <v>43885.332696759258</v>
      </c>
      <c r="B37" s="6">
        <v>1.58</v>
      </c>
      <c r="C37" s="11">
        <f>WORKDAY(INT($A37),1,holidays_US!$A:$A)</f>
        <v>43886</v>
      </c>
    </row>
    <row r="38" spans="1:3" x14ac:dyDescent="0.2">
      <c r="A38" s="11">
        <v>43886.332708333335</v>
      </c>
      <c r="B38" s="6">
        <v>1.59</v>
      </c>
      <c r="C38" s="11">
        <f>WORKDAY(INT($A38),1,holidays_US!$A:$A)</f>
        <v>43887</v>
      </c>
    </row>
    <row r="39" spans="1:3" x14ac:dyDescent="0.2">
      <c r="A39" s="11">
        <v>43887.332696759258</v>
      </c>
      <c r="B39" s="6">
        <v>1.58</v>
      </c>
      <c r="C39" s="11">
        <f>WORKDAY(INT($A39),1,holidays_US!$A:$A)</f>
        <v>43888</v>
      </c>
    </row>
    <row r="40" spans="1:3" x14ac:dyDescent="0.2">
      <c r="A40" s="11">
        <v>43888.332731481481</v>
      </c>
      <c r="B40" s="6">
        <v>1.58</v>
      </c>
      <c r="C40" s="11">
        <f>WORKDAY(INT($A40),1,holidays_US!$A:$A)</f>
        <v>43889</v>
      </c>
    </row>
    <row r="41" spans="1:3" x14ac:dyDescent="0.2">
      <c r="A41" s="11">
        <v>43889.332777777781</v>
      </c>
      <c r="B41" s="6">
        <v>1.6</v>
      </c>
      <c r="C41" s="11">
        <f>WORKDAY(INT($A41),1,holidays_US!$A:$A)</f>
        <v>43892</v>
      </c>
    </row>
    <row r="42" spans="1:3" x14ac:dyDescent="0.2">
      <c r="A42" s="11">
        <v>43892.332766203705</v>
      </c>
      <c r="B42" s="6">
        <v>1.59</v>
      </c>
      <c r="C42" s="11">
        <f>WORKDAY(INT($A42),1,holidays_US!$A:$A)</f>
        <v>43893</v>
      </c>
    </row>
    <row r="43" spans="1:3" x14ac:dyDescent="0.2">
      <c r="A43" s="11">
        <v>43893.332754629628</v>
      </c>
      <c r="B43" s="6">
        <v>1.64</v>
      </c>
      <c r="C43" s="11">
        <f>WORKDAY(INT($A43),1,holidays_US!$A:$A)</f>
        <v>43894</v>
      </c>
    </row>
    <row r="44" spans="1:3" x14ac:dyDescent="0.2">
      <c r="A44" s="11">
        <v>43894.332673611112</v>
      </c>
      <c r="B44" s="6">
        <v>1.23</v>
      </c>
      <c r="C44" s="11">
        <f>WORKDAY(INT($A44),1,holidays_US!$A:$A)</f>
        <v>43895</v>
      </c>
    </row>
    <row r="45" spans="1:3" x14ac:dyDescent="0.2">
      <c r="A45" s="11">
        <v>43895.332685185182</v>
      </c>
      <c r="B45" s="6">
        <v>1.1200000000000001</v>
      </c>
      <c r="C45" s="11">
        <f>WORKDAY(INT($A45),1,holidays_US!$A:$A)</f>
        <v>43896</v>
      </c>
    </row>
    <row r="46" spans="1:3" x14ac:dyDescent="0.2">
      <c r="A46" s="11">
        <v>43896.291388888887</v>
      </c>
      <c r="B46" s="6">
        <v>1.1000000000000001</v>
      </c>
      <c r="C46" s="11">
        <f>WORKDAY(INT($A46),1,holidays_US!$A:$A)</f>
        <v>43899</v>
      </c>
    </row>
    <row r="47" spans="1:3" x14ac:dyDescent="0.2">
      <c r="A47" s="11">
        <v>43899.333043981482</v>
      </c>
      <c r="B47" s="6">
        <v>1.0900000000000001</v>
      </c>
      <c r="C47" s="11">
        <f>WORKDAY(INT($A47),1,holidays_US!$A:$A)</f>
        <v>43900</v>
      </c>
    </row>
    <row r="48" spans="1:3" x14ac:dyDescent="0.2">
      <c r="A48" s="11">
        <v>43900.332708333335</v>
      </c>
      <c r="B48" s="6">
        <v>1.1100000000000001</v>
      </c>
      <c r="C48" s="11">
        <f>WORKDAY(INT($A48),1,holidays_US!$A:$A)</f>
        <v>43901</v>
      </c>
    </row>
    <row r="49" spans="1:3" x14ac:dyDescent="0.2">
      <c r="A49" s="11">
        <v>43901.332777777781</v>
      </c>
      <c r="B49" s="6">
        <v>1.1499999999999999</v>
      </c>
      <c r="C49" s="11">
        <f>WORKDAY(INT($A49),1,holidays_US!$A:$A)</f>
        <v>43902</v>
      </c>
    </row>
    <row r="50" spans="1:3" x14ac:dyDescent="0.2">
      <c r="A50" s="11">
        <v>43902.332696759258</v>
      </c>
      <c r="B50" s="6">
        <v>1.2</v>
      </c>
      <c r="C50" s="11">
        <f>WORKDAY(INT($A50),1,holidays_US!$A:$A)</f>
        <v>43903</v>
      </c>
    </row>
    <row r="51" spans="1:3" x14ac:dyDescent="0.2">
      <c r="A51" s="11">
        <v>43903.332731481481</v>
      </c>
      <c r="B51" s="6">
        <v>1.1000000000000001</v>
      </c>
      <c r="C51" s="11">
        <f>WORKDAY(INT($A51),1,holidays_US!$A:$A)</f>
        <v>43906</v>
      </c>
    </row>
    <row r="52" spans="1:3" x14ac:dyDescent="0.2">
      <c r="A52" s="11">
        <v>43906.332766203705</v>
      </c>
      <c r="B52" s="6">
        <v>0.26</v>
      </c>
      <c r="C52" s="11">
        <f>WORKDAY(INT($A52),1,holidays_US!$A:$A)</f>
        <v>43907</v>
      </c>
    </row>
    <row r="53" spans="1:3" x14ac:dyDescent="0.2">
      <c r="A53" s="11">
        <v>43907.332754629628</v>
      </c>
      <c r="B53" s="6">
        <v>0.54</v>
      </c>
      <c r="C53" s="11">
        <f>WORKDAY(INT($A53),1,holidays_US!$A:$A)</f>
        <v>43908</v>
      </c>
    </row>
    <row r="54" spans="1:3" x14ac:dyDescent="0.2">
      <c r="A54" s="11">
        <v>43908.332951388889</v>
      </c>
      <c r="B54" s="6">
        <v>0.1</v>
      </c>
      <c r="C54" s="11">
        <f>WORKDAY(INT($A54),1,holidays_US!$A:$A)</f>
        <v>43909</v>
      </c>
    </row>
    <row r="55" spans="1:3" x14ac:dyDescent="0.2">
      <c r="A55" s="11">
        <v>43909.332835648151</v>
      </c>
      <c r="B55" s="6">
        <v>0.06</v>
      </c>
      <c r="C55" s="11">
        <f>WORKDAY(INT($A55),1,holidays_US!$A:$A)</f>
        <v>43910</v>
      </c>
    </row>
    <row r="56" spans="1:3" x14ac:dyDescent="0.2">
      <c r="A56" s="11">
        <v>43910.332719907405</v>
      </c>
      <c r="B56" s="6">
        <v>0.04</v>
      </c>
      <c r="C56" s="11">
        <f>WORKDAY(INT($A56),1,holidays_US!$A:$A)</f>
        <v>43913</v>
      </c>
    </row>
    <row r="57" spans="1:3" x14ac:dyDescent="0.2">
      <c r="A57" s="11">
        <v>43913.332800925928</v>
      </c>
      <c r="B57" s="6">
        <v>0.02</v>
      </c>
      <c r="C57" s="11">
        <f>WORKDAY(INT($A57),1,holidays_US!$A:$A)</f>
        <v>43914</v>
      </c>
    </row>
    <row r="58" spans="1:3" x14ac:dyDescent="0.2">
      <c r="A58" s="11">
        <v>43914.332743055558</v>
      </c>
      <c r="B58" s="6">
        <v>0.01</v>
      </c>
      <c r="C58" s="11">
        <f>WORKDAY(INT($A58),1,holidays_US!$A:$A)</f>
        <v>43915</v>
      </c>
    </row>
    <row r="59" spans="1:3" x14ac:dyDescent="0.2">
      <c r="A59" s="11">
        <v>43915.332870370374</v>
      </c>
      <c r="B59" s="6">
        <v>0.01</v>
      </c>
      <c r="C59" s="11">
        <f>WORKDAY(INT($A59),1,holidays_US!$A:$A)</f>
        <v>43916</v>
      </c>
    </row>
    <row r="60" spans="1:3" x14ac:dyDescent="0.2">
      <c r="A60" s="11">
        <v>43916.332858796297</v>
      </c>
      <c r="B60" s="6">
        <v>0.01</v>
      </c>
      <c r="C60" s="11">
        <f>WORKDAY(INT($A60),1,holidays_US!$A:$A)</f>
        <v>43917</v>
      </c>
    </row>
    <row r="61" spans="1:3" x14ac:dyDescent="0.2">
      <c r="A61" s="11">
        <v>43917.332731481481</v>
      </c>
      <c r="B61" s="6">
        <v>0.01</v>
      </c>
      <c r="C61" s="11">
        <f>WORKDAY(INT($A61),1,holidays_US!$A:$A)</f>
        <v>43920</v>
      </c>
    </row>
    <row r="62" spans="1:3" x14ac:dyDescent="0.2">
      <c r="A62" s="11">
        <v>43920.332766203705</v>
      </c>
      <c r="B62" s="6">
        <v>0.01</v>
      </c>
      <c r="C62" s="11">
        <f>WORKDAY(INT($A62),1,holidays_US!$A:$A)</f>
        <v>43921</v>
      </c>
    </row>
    <row r="63" spans="1:3" x14ac:dyDescent="0.2">
      <c r="A63" s="11">
        <v>43921.332812499997</v>
      </c>
      <c r="B63" s="6">
        <v>0.01</v>
      </c>
      <c r="C63" s="11">
        <f>WORKDAY(INT($A63),1,holidays_US!$A:$A)</f>
        <v>43922</v>
      </c>
    </row>
    <row r="64" spans="1:3" x14ac:dyDescent="0.2">
      <c r="A64" s="11">
        <v>43922.333182870374</v>
      </c>
      <c r="B64" s="6">
        <v>0.01</v>
      </c>
      <c r="C64" s="11">
        <f>WORKDAY(INT($A64),1,holidays_US!$A:$A)</f>
        <v>43923</v>
      </c>
    </row>
    <row r="65" spans="1:3" x14ac:dyDescent="0.2">
      <c r="A65" s="11">
        <v>43923.333009259259</v>
      </c>
      <c r="B65" s="6">
        <v>0.01</v>
      </c>
      <c r="C65" s="11">
        <f>WORKDAY(INT($A65),1,holidays_US!$A:$A)</f>
        <v>43924</v>
      </c>
    </row>
    <row r="66" spans="1:3" x14ac:dyDescent="0.2">
      <c r="A66" s="11">
        <v>43924.333807870367</v>
      </c>
      <c r="B66" s="6">
        <v>0.01</v>
      </c>
      <c r="C66" s="11">
        <f>WORKDAY(INT($A66),1,holidays_US!$A:$A)</f>
        <v>43927</v>
      </c>
    </row>
    <row r="67" spans="1:3" x14ac:dyDescent="0.2">
      <c r="A67" s="11">
        <v>43927.333194444444</v>
      </c>
      <c r="B67" s="6">
        <v>0.01</v>
      </c>
      <c r="C67" s="11">
        <f>WORKDAY(INT($A67),1,holidays_US!$A:$A)</f>
        <v>43928</v>
      </c>
    </row>
    <row r="68" spans="1:3" x14ac:dyDescent="0.2">
      <c r="A68" s="11">
        <v>43928.332997685182</v>
      </c>
      <c r="B68" s="6">
        <v>0.01</v>
      </c>
      <c r="C68" s="11">
        <f>WORKDAY(INT($A68),1,holidays_US!$A:$A)</f>
        <v>43929</v>
      </c>
    </row>
    <row r="69" spans="1:3" x14ac:dyDescent="0.2">
      <c r="A69" s="11">
        <v>43929.333310185182</v>
      </c>
      <c r="B69" s="6">
        <v>0.01</v>
      </c>
      <c r="C69" s="11">
        <f>WORKDAY(INT($A69),1,holidays_US!$A:$A)</f>
        <v>43930</v>
      </c>
    </row>
    <row r="70" spans="1:3" x14ac:dyDescent="0.2">
      <c r="A70" s="11">
        <v>43930.333124999997</v>
      </c>
      <c r="B70" s="6">
        <v>0.01</v>
      </c>
      <c r="C70" s="11">
        <f>WORKDAY(INT($A70),1,holidays_US!$A:$A)</f>
        <v>43931</v>
      </c>
    </row>
    <row r="71" spans="1:3" x14ac:dyDescent="0.2">
      <c r="A71" s="11">
        <v>43934.333379629628</v>
      </c>
      <c r="B71" s="6">
        <v>0.02</v>
      </c>
      <c r="C71" s="11">
        <f>WORKDAY(INT($A71),1,holidays_US!$A:$A)</f>
        <v>43935</v>
      </c>
    </row>
    <row r="72" spans="1:3" x14ac:dyDescent="0.2">
      <c r="A72" s="11">
        <v>43935.332997685182</v>
      </c>
      <c r="B72" s="6">
        <v>0.06</v>
      </c>
      <c r="C72" s="11">
        <f>WORKDAY(INT($A72),1,holidays_US!$A:$A)</f>
        <v>43936</v>
      </c>
    </row>
    <row r="73" spans="1:3" x14ac:dyDescent="0.2">
      <c r="A73" s="11">
        <v>43936.333472222221</v>
      </c>
      <c r="B73" s="6">
        <v>0.03</v>
      </c>
      <c r="C73" s="11">
        <f>WORKDAY(INT($A73),1,holidays_US!$A:$A)</f>
        <v>43937</v>
      </c>
    </row>
    <row r="74" spans="1:3" x14ac:dyDescent="0.2">
      <c r="A74" s="11">
        <v>43937.333449074074</v>
      </c>
      <c r="B74" s="6">
        <v>0.03</v>
      </c>
      <c r="C74" s="11">
        <f>WORKDAY(INT($A74),1,holidays_US!$A:$A)</f>
        <v>43938</v>
      </c>
    </row>
    <row r="75" spans="1:3" x14ac:dyDescent="0.2">
      <c r="A75" s="11">
        <v>43938.333449074074</v>
      </c>
      <c r="B75" s="6">
        <v>0.03</v>
      </c>
      <c r="C75" s="11">
        <f>WORKDAY(INT($A75),1,holidays_US!$A:$A)</f>
        <v>43941</v>
      </c>
    </row>
    <row r="76" spans="1:3" x14ac:dyDescent="0.2">
      <c r="A76" s="11">
        <v>43941.333356481482</v>
      </c>
      <c r="B76" s="6">
        <v>0.02</v>
      </c>
      <c r="C76" s="11">
        <f>WORKDAY(INT($A76),1,holidays_US!$A:$A)</f>
        <v>43942</v>
      </c>
    </row>
    <row r="77" spans="1:3" x14ac:dyDescent="0.2">
      <c r="A77" s="11">
        <v>43942.332951388889</v>
      </c>
      <c r="B77" s="6">
        <v>0.01</v>
      </c>
      <c r="C77" s="11">
        <f>WORKDAY(INT($A77),1,holidays_US!$A:$A)</f>
        <v>43943</v>
      </c>
    </row>
    <row r="78" spans="1:3" x14ac:dyDescent="0.2">
      <c r="A78" s="11">
        <v>43943.332870370374</v>
      </c>
      <c r="B78" s="6">
        <v>0.01</v>
      </c>
      <c r="C78" s="11">
        <f>WORKDAY(INT($A78),1,holidays_US!$A:$A)</f>
        <v>43944</v>
      </c>
    </row>
    <row r="79" spans="1:3" x14ac:dyDescent="0.2">
      <c r="A79" s="11">
        <v>43944.333495370367</v>
      </c>
      <c r="B79" s="6">
        <v>0.01</v>
      </c>
      <c r="C79" s="11">
        <f>WORKDAY(INT($A79),1,holidays_US!$A:$A)</f>
        <v>43945</v>
      </c>
    </row>
    <row r="80" spans="1:3" x14ac:dyDescent="0.2">
      <c r="A80" s="11">
        <v>43945.33289351852</v>
      </c>
      <c r="B80" s="6">
        <v>0.03</v>
      </c>
      <c r="C80" s="11">
        <f>WORKDAY(INT($A80),1,holidays_US!$A:$A)</f>
        <v>43948</v>
      </c>
    </row>
    <row r="81" spans="1:3" x14ac:dyDescent="0.2">
      <c r="A81" s="11">
        <v>43948.333368055559</v>
      </c>
      <c r="B81" s="6">
        <v>0.03</v>
      </c>
      <c r="C81" s="11">
        <f>WORKDAY(INT($A81),1,holidays_US!$A:$A)</f>
        <v>43949</v>
      </c>
    </row>
    <row r="82" spans="1:3" x14ac:dyDescent="0.2">
      <c r="A82" s="11">
        <v>43949.333171296297</v>
      </c>
      <c r="B82" s="6">
        <v>0.01</v>
      </c>
      <c r="C82" s="11">
        <f>WORKDAY(INT($A82),1,holidays_US!$A:$A)</f>
        <v>43950</v>
      </c>
    </row>
    <row r="83" spans="1:3" x14ac:dyDescent="0.2">
      <c r="A83" s="11">
        <v>43950.333252314813</v>
      </c>
      <c r="B83" s="6">
        <v>0.01</v>
      </c>
      <c r="C83" s="11">
        <f>WORKDAY(INT($A83),1,holidays_US!$A:$A)</f>
        <v>43951</v>
      </c>
    </row>
    <row r="84" spans="1:3" x14ac:dyDescent="0.2">
      <c r="A84" s="11">
        <v>43951.333310185182</v>
      </c>
      <c r="B84" s="6">
        <v>0.04</v>
      </c>
      <c r="C84" s="11">
        <f>WORKDAY(INT($A84),1,holidays_US!$A:$A)</f>
        <v>43952</v>
      </c>
    </row>
    <row r="85" spans="1:3" x14ac:dyDescent="0.2">
      <c r="A85" s="11">
        <v>43952.333495370367</v>
      </c>
      <c r="B85" s="6">
        <v>0.03</v>
      </c>
      <c r="C85" s="11">
        <f>WORKDAY(INT($A85),1,holidays_US!$A:$A)</f>
        <v>43955</v>
      </c>
    </row>
    <row r="86" spans="1:3" x14ac:dyDescent="0.2">
      <c r="A86" s="11">
        <v>43955.333136574074</v>
      </c>
      <c r="B86" s="6">
        <v>0.05</v>
      </c>
      <c r="C86" s="11">
        <f>WORKDAY(INT($A86),1,holidays_US!$A:$A)</f>
        <v>43956</v>
      </c>
    </row>
    <row r="87" spans="1:3" x14ac:dyDescent="0.2">
      <c r="A87" s="11">
        <v>43956.333275462966</v>
      </c>
      <c r="B87" s="6">
        <v>0.05</v>
      </c>
      <c r="C87" s="11">
        <f>WORKDAY(INT($A87),1,holidays_US!$A:$A)</f>
        <v>43957</v>
      </c>
    </row>
    <row r="88" spans="1:3" x14ac:dyDescent="0.2">
      <c r="A88" s="11">
        <v>43957.333368055559</v>
      </c>
      <c r="B88" s="6">
        <v>0.05</v>
      </c>
      <c r="C88" s="11">
        <f>WORKDAY(INT($A88),1,holidays_US!$A:$A)</f>
        <v>43958</v>
      </c>
    </row>
    <row r="89" spans="1:3" x14ac:dyDescent="0.2">
      <c r="A89" s="11">
        <v>43958.332951388889</v>
      </c>
      <c r="B89" s="6">
        <v>0.05</v>
      </c>
      <c r="C89" s="11">
        <f>WORKDAY(INT($A89),1,holidays_US!$A:$A)</f>
        <v>43959</v>
      </c>
    </row>
    <row r="90" spans="1:3" x14ac:dyDescent="0.2">
      <c r="A90" s="11">
        <v>43959.333391203705</v>
      </c>
      <c r="B90" s="6">
        <v>0.06</v>
      </c>
      <c r="C90" s="11">
        <f>WORKDAY(INT($A90),1,holidays_US!$A:$A)</f>
        <v>43962</v>
      </c>
    </row>
    <row r="91" spans="1:3" x14ac:dyDescent="0.2">
      <c r="A91" s="11">
        <v>43962.333599537036</v>
      </c>
      <c r="B91" s="6">
        <v>0.06</v>
      </c>
      <c r="C91" s="11">
        <f>WORKDAY(INT($A91),1,holidays_US!$A:$A)</f>
        <v>43963</v>
      </c>
    </row>
    <row r="92" spans="1:3" x14ac:dyDescent="0.2">
      <c r="A92" s="11">
        <v>43963.333738425928</v>
      </c>
      <c r="B92" s="6">
        <v>0.06</v>
      </c>
      <c r="C92" s="11">
        <f>WORKDAY(INT($A92),1,holidays_US!$A:$A)</f>
        <v>43964</v>
      </c>
    </row>
    <row r="93" spans="1:3" x14ac:dyDescent="0.2">
      <c r="A93" s="11">
        <v>43964.333356481482</v>
      </c>
      <c r="B93" s="6">
        <v>0.04</v>
      </c>
      <c r="C93" s="11">
        <f>WORKDAY(INT($A93),1,holidays_US!$A:$A)</f>
        <v>43965</v>
      </c>
    </row>
    <row r="94" spans="1:3" x14ac:dyDescent="0.2">
      <c r="A94" s="11">
        <v>43965.33326388889</v>
      </c>
      <c r="B94" s="6">
        <v>0.02</v>
      </c>
      <c r="C94" s="11">
        <f>WORKDAY(INT($A94),1,holidays_US!$A:$A)</f>
        <v>43966</v>
      </c>
    </row>
    <row r="95" spans="1:3" x14ac:dyDescent="0.2">
      <c r="A95" s="11">
        <v>43966.332928240743</v>
      </c>
      <c r="B95" s="6">
        <v>0.05</v>
      </c>
      <c r="C95" s="11">
        <f>WORKDAY(INT($A95),1,holidays_US!$A:$A)</f>
        <v>43969</v>
      </c>
    </row>
    <row r="96" spans="1:3" x14ac:dyDescent="0.2">
      <c r="A96" s="11">
        <v>43969.333043981482</v>
      </c>
      <c r="B96" s="6">
        <v>0.04</v>
      </c>
      <c r="C96" s="11">
        <f>WORKDAY(INT($A96),1,holidays_US!$A:$A)</f>
        <v>43970</v>
      </c>
    </row>
    <row r="97" spans="1:3" x14ac:dyDescent="0.2">
      <c r="A97" s="11">
        <v>43970.332974537036</v>
      </c>
      <c r="B97" s="6">
        <v>0.04</v>
      </c>
      <c r="C97" s="11">
        <f>WORKDAY(INT($A97),1,holidays_US!$A:$A)</f>
        <v>43971</v>
      </c>
    </row>
    <row r="98" spans="1:3" x14ac:dyDescent="0.2">
      <c r="A98" s="11">
        <v>43971.333252314813</v>
      </c>
      <c r="B98" s="6">
        <v>0.01</v>
      </c>
      <c r="C98" s="11">
        <f>WORKDAY(INT($A98),1,holidays_US!$A:$A)</f>
        <v>43972</v>
      </c>
    </row>
    <row r="99" spans="1:3" x14ac:dyDescent="0.2">
      <c r="A99" s="11">
        <v>43972.333356481482</v>
      </c>
      <c r="B99" s="6">
        <v>0.02</v>
      </c>
      <c r="C99" s="11">
        <f>WORKDAY(INT($A99),1,holidays_US!$A:$A)</f>
        <v>43973</v>
      </c>
    </row>
    <row r="100" spans="1:3" x14ac:dyDescent="0.2">
      <c r="A100" s="11">
        <v>43973.332824074074</v>
      </c>
      <c r="B100" s="6">
        <v>0.04</v>
      </c>
      <c r="C100" s="11">
        <f>WORKDAY(INT($A100),1,holidays_US!$A:$A)</f>
        <v>43977</v>
      </c>
    </row>
    <row r="101" spans="1:3" x14ac:dyDescent="0.2">
      <c r="A101" s="11">
        <v>43977.333009259259</v>
      </c>
      <c r="B101" s="6">
        <v>0.06</v>
      </c>
      <c r="C101" s="11">
        <f>WORKDAY(INT($A101),1,holidays_US!$A:$A)</f>
        <v>43978</v>
      </c>
    </row>
    <row r="102" spans="1:3" x14ac:dyDescent="0.2">
      <c r="A102" s="11">
        <v>43978.333136574074</v>
      </c>
      <c r="B102" s="6">
        <v>0.06</v>
      </c>
      <c r="C102" s="11">
        <f>WORKDAY(INT($A102),1,holidays_US!$A:$A)</f>
        <v>43979</v>
      </c>
    </row>
    <row r="103" spans="1:3" x14ac:dyDescent="0.2">
      <c r="A103" s="11">
        <v>43979.333124999997</v>
      </c>
      <c r="B103" s="6">
        <v>0.06</v>
      </c>
      <c r="C103" s="11">
        <f>WORKDAY(INT($A103),1,holidays_US!$A:$A)</f>
        <v>43980</v>
      </c>
    </row>
    <row r="104" spans="1:3" x14ac:dyDescent="0.2">
      <c r="A104" s="11">
        <v>43980.33321759259</v>
      </c>
      <c r="B104" s="6">
        <v>0.06</v>
      </c>
      <c r="C104" s="11">
        <f>WORKDAY(INT($A104),1,holidays_US!$A:$A)</f>
        <v>43983</v>
      </c>
    </row>
    <row r="105" spans="1:3" x14ac:dyDescent="0.2">
      <c r="A105" s="11">
        <v>43983.333298611113</v>
      </c>
      <c r="B105" s="6">
        <v>0.06</v>
      </c>
      <c r="C105" s="11">
        <f>WORKDAY(INT($A105),1,holidays_US!$A:$A)</f>
        <v>43984</v>
      </c>
    </row>
    <row r="106" spans="1:3" x14ac:dyDescent="0.2">
      <c r="A106" s="11">
        <v>43984.332916666666</v>
      </c>
      <c r="B106" s="6">
        <v>7.0000000000000007E-2</v>
      </c>
      <c r="C106" s="11">
        <f>WORKDAY(INT($A106),1,holidays_US!$A:$A)</f>
        <v>43985</v>
      </c>
    </row>
    <row r="107" spans="1:3" x14ac:dyDescent="0.2">
      <c r="A107" s="11">
        <v>43985.333287037036</v>
      </c>
      <c r="B107" s="6">
        <v>0.06</v>
      </c>
      <c r="C107" s="11">
        <f>WORKDAY(INT($A107),1,holidays_US!$A:$A)</f>
        <v>43986</v>
      </c>
    </row>
    <row r="108" spans="1:3" x14ac:dyDescent="0.2">
      <c r="A108" s="11">
        <v>43986.333310185182</v>
      </c>
      <c r="B108" s="6">
        <v>7.0000000000000007E-2</v>
      </c>
      <c r="C108" s="11">
        <f>WORKDAY(INT($A108),1,holidays_US!$A:$A)</f>
        <v>43987</v>
      </c>
    </row>
    <row r="109" spans="1:3" x14ac:dyDescent="0.2">
      <c r="A109" s="11">
        <v>43987.333425925928</v>
      </c>
      <c r="B109" s="6">
        <v>7.0000000000000007E-2</v>
      </c>
      <c r="C109" s="11">
        <f>WORKDAY(INT($A109),1,holidays_US!$A:$A)</f>
        <v>43990</v>
      </c>
    </row>
    <row r="110" spans="1:3" x14ac:dyDescent="0.2">
      <c r="A110" s="11">
        <v>43990.333171296297</v>
      </c>
      <c r="B110" s="6">
        <v>7.0000000000000007E-2</v>
      </c>
      <c r="C110" s="11">
        <f>WORKDAY(INT($A110),1,holidays_US!$A:$A)</f>
        <v>43991</v>
      </c>
    </row>
    <row r="111" spans="1:3" x14ac:dyDescent="0.2">
      <c r="A111" s="11">
        <v>43991.333252314813</v>
      </c>
      <c r="B111" s="6">
        <v>0.08</v>
      </c>
      <c r="C111" s="11">
        <f>WORKDAY(INT($A111),1,holidays_US!$A:$A)</f>
        <v>43992</v>
      </c>
    </row>
    <row r="112" spans="1:3" x14ac:dyDescent="0.2">
      <c r="A112" s="11">
        <v>43992.333310185182</v>
      </c>
      <c r="B112" s="6">
        <v>7.0000000000000007E-2</v>
      </c>
      <c r="C112" s="11">
        <f>WORKDAY(INT($A112),1,holidays_US!$A:$A)</f>
        <v>43993</v>
      </c>
    </row>
    <row r="113" spans="1:3" x14ac:dyDescent="0.2">
      <c r="A113" s="11">
        <v>43993.333310185182</v>
      </c>
      <c r="B113" s="6">
        <v>0.08</v>
      </c>
      <c r="C113" s="11">
        <f>WORKDAY(INT($A113),1,holidays_US!$A:$A)</f>
        <v>43994</v>
      </c>
    </row>
    <row r="114" spans="1:3" x14ac:dyDescent="0.2">
      <c r="A114" s="11">
        <v>43994.33320601852</v>
      </c>
      <c r="B114" s="6">
        <v>0.08</v>
      </c>
      <c r="C114" s="11">
        <f>WORKDAY(INT($A114),1,holidays_US!$A:$A)</f>
        <v>43997</v>
      </c>
    </row>
    <row r="115" spans="1:3" x14ac:dyDescent="0.2">
      <c r="A115" s="11">
        <v>43997.333067129628</v>
      </c>
      <c r="B115" s="6">
        <v>0.09</v>
      </c>
      <c r="C115" s="11">
        <f>WORKDAY(INT($A115),1,holidays_US!$A:$A)</f>
        <v>43998</v>
      </c>
    </row>
    <row r="116" spans="1:3" x14ac:dyDescent="0.2">
      <c r="A116" s="11">
        <v>43998.333101851851</v>
      </c>
      <c r="B116" s="6">
        <v>0.09</v>
      </c>
      <c r="C116" s="11">
        <f>WORKDAY(INT($A116),1,holidays_US!$A:$A)</f>
        <v>43999</v>
      </c>
    </row>
    <row r="117" spans="1:3" x14ac:dyDescent="0.2">
      <c r="A117" s="11">
        <v>43999.333483796298</v>
      </c>
      <c r="B117" s="6">
        <v>0.09</v>
      </c>
      <c r="C117" s="11">
        <f>WORKDAY(INT($A117),1,holidays_US!$A:$A)</f>
        <v>44000</v>
      </c>
    </row>
    <row r="118" spans="1:3" x14ac:dyDescent="0.2">
      <c r="A118" s="11">
        <v>44000.333483796298</v>
      </c>
      <c r="B118" s="6">
        <v>0.09</v>
      </c>
      <c r="C118" s="11">
        <f>WORKDAY(INT($A118),1,holidays_US!$A:$A)</f>
        <v>44001</v>
      </c>
    </row>
    <row r="119" spans="1:3" x14ac:dyDescent="0.2">
      <c r="A119" s="11">
        <v>44001.33394675926</v>
      </c>
      <c r="B119" s="6">
        <v>0.09</v>
      </c>
      <c r="C119" s="11">
        <f>WORKDAY(INT($A119),1,holidays_US!$A:$A)</f>
        <v>44004</v>
      </c>
    </row>
    <row r="120" spans="1:3" x14ac:dyDescent="0.2">
      <c r="A120" s="11">
        <v>44004.333391203705</v>
      </c>
      <c r="B120" s="6">
        <v>0.08</v>
      </c>
      <c r="C120" s="11">
        <f>WORKDAY(INT($A120),1,holidays_US!$A:$A)</f>
        <v>44005</v>
      </c>
    </row>
    <row r="121" spans="1:3" x14ac:dyDescent="0.2">
      <c r="A121" s="11">
        <v>44005.333807870367</v>
      </c>
      <c r="B121" s="6">
        <v>7.0000000000000007E-2</v>
      </c>
      <c r="C121" s="11">
        <f>WORKDAY(INT($A121),1,holidays_US!$A:$A)</f>
        <v>44006</v>
      </c>
    </row>
    <row r="122" spans="1:3" x14ac:dyDescent="0.2">
      <c r="A122" s="11">
        <v>44006.333622685182</v>
      </c>
      <c r="B122" s="6">
        <v>0.08</v>
      </c>
      <c r="C122" s="11">
        <f>WORKDAY(INT($A122),1,holidays_US!$A:$A)</f>
        <v>44007</v>
      </c>
    </row>
    <row r="123" spans="1:3" x14ac:dyDescent="0.2">
      <c r="A123" s="11">
        <v>44007.333645833336</v>
      </c>
      <c r="B123" s="6">
        <v>0.09</v>
      </c>
      <c r="C123" s="11">
        <f>WORKDAY(INT($A123),1,holidays_US!$A:$A)</f>
        <v>44008</v>
      </c>
    </row>
    <row r="124" spans="1:3" x14ac:dyDescent="0.2">
      <c r="A124" s="11">
        <v>44008.333437499998</v>
      </c>
      <c r="B124" s="6">
        <v>0.08</v>
      </c>
      <c r="C124" s="11">
        <f>WORKDAY(INT($A124),1,holidays_US!$A:$A)</f>
        <v>44011</v>
      </c>
    </row>
    <row r="125" spans="1:3" x14ac:dyDescent="0.2">
      <c r="A125" s="11">
        <v>44011.333032407405</v>
      </c>
      <c r="B125" s="6">
        <v>0.08</v>
      </c>
      <c r="C125" s="11">
        <f>WORKDAY(INT($A125),1,holidays_US!$A:$A)</f>
        <v>44012</v>
      </c>
    </row>
    <row r="126" spans="1:3" x14ac:dyDescent="0.2">
      <c r="A126" s="11">
        <v>44012.333379629628</v>
      </c>
      <c r="B126" s="6">
        <v>0.1</v>
      </c>
      <c r="C126" s="11">
        <f>WORKDAY(INT($A126),1,holidays_US!$A:$A)</f>
        <v>44013</v>
      </c>
    </row>
    <row r="127" spans="1:3" x14ac:dyDescent="0.2">
      <c r="A127" s="11">
        <v>44013.333506944444</v>
      </c>
      <c r="B127" s="6">
        <v>0.11</v>
      </c>
      <c r="C127" s="11">
        <f>WORKDAY(INT($A127),1,holidays_US!$A:$A)</f>
        <v>44014</v>
      </c>
    </row>
    <row r="128" spans="1:3" x14ac:dyDescent="0.2">
      <c r="A128" s="11">
        <v>44014.333437499998</v>
      </c>
      <c r="B128" s="6">
        <v>0.11</v>
      </c>
      <c r="C128" s="11">
        <f>WORKDAY(INT($A128),1,holidays_US!$A:$A)</f>
        <v>44018</v>
      </c>
    </row>
    <row r="129" spans="1:3" x14ac:dyDescent="0.2">
      <c r="A129" s="11">
        <v>44018.33289351852</v>
      </c>
      <c r="B129" s="6">
        <v>0.1</v>
      </c>
      <c r="C129" s="11">
        <f>WORKDAY(INT($A129),1,holidays_US!$A:$A)</f>
        <v>44019</v>
      </c>
    </row>
    <row r="130" spans="1:3" x14ac:dyDescent="0.2">
      <c r="A130" s="11">
        <v>44019.333078703705</v>
      </c>
      <c r="B130" s="6">
        <v>0.1</v>
      </c>
      <c r="C130" s="11">
        <f>WORKDAY(INT($A130),1,holidays_US!$A:$A)</f>
        <v>44020</v>
      </c>
    </row>
    <row r="131" spans="1:3" x14ac:dyDescent="0.2">
      <c r="A131" s="11">
        <v>44020.333379629628</v>
      </c>
      <c r="B131" s="6">
        <v>0.1</v>
      </c>
      <c r="C131" s="11">
        <f>WORKDAY(INT($A131),1,holidays_US!$A:$A)</f>
        <v>44021</v>
      </c>
    </row>
    <row r="132" spans="1:3" x14ac:dyDescent="0.2">
      <c r="A132" s="11">
        <v>44021.333124999997</v>
      </c>
      <c r="B132" s="6">
        <v>0.1</v>
      </c>
      <c r="C132" s="11">
        <f>WORKDAY(INT($A132),1,holidays_US!$A:$A)</f>
        <v>44022</v>
      </c>
    </row>
    <row r="133" spans="1:3" x14ac:dyDescent="0.2">
      <c r="A133" s="11">
        <v>44022.332974537036</v>
      </c>
      <c r="B133" s="6">
        <v>0.1</v>
      </c>
      <c r="C133" s="11">
        <f>WORKDAY(INT($A133),1,holidays_US!$A:$A)</f>
        <v>44025</v>
      </c>
    </row>
    <row r="134" spans="1:3" x14ac:dyDescent="0.2">
      <c r="A134" s="11">
        <v>44025.333356481482</v>
      </c>
      <c r="B134" s="6">
        <v>0.1</v>
      </c>
      <c r="C134" s="11">
        <f>WORKDAY(INT($A134),1,holidays_US!$A:$A)</f>
        <v>44026</v>
      </c>
    </row>
    <row r="135" spans="1:3" x14ac:dyDescent="0.2">
      <c r="A135" s="11">
        <v>44026.333229166667</v>
      </c>
      <c r="B135" s="6">
        <v>0.11</v>
      </c>
      <c r="C135" s="11">
        <f>WORKDAY(INT($A135),1,holidays_US!$A:$A)</f>
        <v>44027</v>
      </c>
    </row>
    <row r="136" spans="1:3" x14ac:dyDescent="0.2">
      <c r="A136" s="11">
        <v>44027.333090277774</v>
      </c>
      <c r="B136" s="6">
        <v>0.13</v>
      </c>
      <c r="C136" s="11">
        <f>WORKDAY(INT($A136),1,holidays_US!$A:$A)</f>
        <v>44028</v>
      </c>
    </row>
    <row r="137" spans="1:3" x14ac:dyDescent="0.2">
      <c r="A137" s="11">
        <v>44028.333298611113</v>
      </c>
      <c r="B137" s="6">
        <v>0.12</v>
      </c>
      <c r="C137" s="11">
        <f>WORKDAY(INT($A137),1,holidays_US!$A:$A)</f>
        <v>44029</v>
      </c>
    </row>
    <row r="138" spans="1:3" x14ac:dyDescent="0.2">
      <c r="A138" s="11">
        <v>44029.333298611113</v>
      </c>
      <c r="B138" s="6">
        <v>0.12</v>
      </c>
      <c r="C138" s="11">
        <f>WORKDAY(INT($A138),1,holidays_US!$A:$A)</f>
        <v>44032</v>
      </c>
    </row>
    <row r="139" spans="1:3" x14ac:dyDescent="0.2">
      <c r="A139" s="11">
        <v>44032.333067129628</v>
      </c>
      <c r="B139" s="6">
        <v>0.12</v>
      </c>
      <c r="C139" s="11">
        <f>WORKDAY(INT($A139),1,holidays_US!$A:$A)</f>
        <v>44033</v>
      </c>
    </row>
    <row r="140" spans="1:3" x14ac:dyDescent="0.2">
      <c r="A140" s="11">
        <v>44033.333020833335</v>
      </c>
      <c r="B140" s="6">
        <v>0.11</v>
      </c>
      <c r="C140" s="11">
        <f>WORKDAY(INT($A140),1,holidays_US!$A:$A)</f>
        <v>44034</v>
      </c>
    </row>
    <row r="141" spans="1:3" x14ac:dyDescent="0.2">
      <c r="A141" s="11">
        <v>44034.333229166667</v>
      </c>
      <c r="B141" s="6">
        <v>0.1</v>
      </c>
      <c r="C141" s="11">
        <f>WORKDAY(INT($A141),1,holidays_US!$A:$A)</f>
        <v>44035</v>
      </c>
    </row>
    <row r="142" spans="1:3" x14ac:dyDescent="0.2">
      <c r="A142" s="11">
        <v>44035.333333333336</v>
      </c>
      <c r="B142" s="6">
        <v>0.1</v>
      </c>
      <c r="C142" s="11">
        <f>WORKDAY(INT($A142),1,holidays_US!$A:$A)</f>
        <v>44036</v>
      </c>
    </row>
    <row r="143" spans="1:3" x14ac:dyDescent="0.2">
      <c r="A143" s="11">
        <v>44036.333553240744</v>
      </c>
      <c r="B143" s="6">
        <v>0.1</v>
      </c>
      <c r="C143" s="11">
        <f>WORKDAY(INT($A143),1,holidays_US!$A:$A)</f>
        <v>44039</v>
      </c>
    </row>
    <row r="144" spans="1:3" x14ac:dyDescent="0.2">
      <c r="A144" s="11">
        <v>44039.333460648151</v>
      </c>
      <c r="B144" s="6">
        <v>0.1</v>
      </c>
      <c r="C144" s="11">
        <f>WORKDAY(INT($A144),1,holidays_US!$A:$A)</f>
        <v>44040</v>
      </c>
    </row>
    <row r="145" spans="1:3" x14ac:dyDescent="0.2">
      <c r="A145" s="11">
        <v>44040.333368055559</v>
      </c>
      <c r="B145" s="6">
        <v>0.1</v>
      </c>
      <c r="C145" s="11">
        <f>WORKDAY(INT($A145),1,holidays_US!$A:$A)</f>
        <v>44041</v>
      </c>
    </row>
    <row r="146" spans="1:3" x14ac:dyDescent="0.2">
      <c r="A146" s="11">
        <v>44041.333483796298</v>
      </c>
      <c r="B146" s="6">
        <v>0.09</v>
      </c>
      <c r="C146" s="11">
        <f>WORKDAY(INT($A146),1,holidays_US!$A:$A)</f>
        <v>44042</v>
      </c>
    </row>
    <row r="147" spans="1:3" x14ac:dyDescent="0.2">
      <c r="A147" s="11">
        <v>44042.33321759259</v>
      </c>
      <c r="B147" s="6">
        <v>0.1</v>
      </c>
      <c r="C147" s="11">
        <f>WORKDAY(INT($A147),1,holidays_US!$A:$A)</f>
        <v>44043</v>
      </c>
    </row>
    <row r="148" spans="1:3" x14ac:dyDescent="0.2">
      <c r="A148" s="11">
        <v>44043.33357638889</v>
      </c>
      <c r="B148" s="6">
        <v>0.1</v>
      </c>
      <c r="C148" s="11">
        <f>WORKDAY(INT($A148),1,holidays_US!$A:$A)</f>
        <v>44046</v>
      </c>
    </row>
    <row r="149" spans="1:3" x14ac:dyDescent="0.2">
      <c r="A149" s="11">
        <v>44046.333148148151</v>
      </c>
      <c r="B149" s="6">
        <v>0.1</v>
      </c>
      <c r="C149" s="11">
        <f>WORKDAY(INT($A149),1,holidays_US!$A:$A)</f>
        <v>44047</v>
      </c>
    </row>
    <row r="150" spans="1:3" x14ac:dyDescent="0.2">
      <c r="A150" s="11">
        <v>44047.333229166667</v>
      </c>
      <c r="B150" s="6">
        <v>0.09</v>
      </c>
      <c r="C150" s="11">
        <f>WORKDAY(INT($A150),1,holidays_US!$A:$A)</f>
        <v>44048</v>
      </c>
    </row>
    <row r="151" spans="1:3" x14ac:dyDescent="0.2">
      <c r="A151" s="11">
        <v>44048.333414351851</v>
      </c>
      <c r="B151" s="6">
        <v>0.09</v>
      </c>
      <c r="C151" s="11">
        <f>WORKDAY(INT($A151),1,holidays_US!$A:$A)</f>
        <v>44049</v>
      </c>
    </row>
    <row r="152" spans="1:3" x14ac:dyDescent="0.2">
      <c r="A152" s="11">
        <v>44049.333009259259</v>
      </c>
      <c r="B152" s="6">
        <v>0.09</v>
      </c>
      <c r="C152" s="11">
        <f>WORKDAY(INT($A152),1,holidays_US!$A:$A)</f>
        <v>44050</v>
      </c>
    </row>
    <row r="153" spans="1:3" x14ac:dyDescent="0.2">
      <c r="A153" s="11">
        <v>44050.33320601852</v>
      </c>
      <c r="B153" s="6">
        <v>0.09</v>
      </c>
      <c r="C153" s="11">
        <f>WORKDAY(INT($A153),1,holidays_US!$A:$A)</f>
        <v>44053</v>
      </c>
    </row>
    <row r="154" spans="1:3" x14ac:dyDescent="0.2">
      <c r="A154" s="11">
        <v>44053.333182870374</v>
      </c>
      <c r="B154" s="6">
        <v>0.09</v>
      </c>
      <c r="C154" s="11">
        <f>WORKDAY(INT($A154),1,holidays_US!$A:$A)</f>
        <v>44054</v>
      </c>
    </row>
    <row r="155" spans="1:3" x14ac:dyDescent="0.2">
      <c r="A155" s="11">
        <v>44054.33315972222</v>
      </c>
      <c r="B155" s="6">
        <v>0.1</v>
      </c>
      <c r="C155" s="11">
        <f>WORKDAY(INT($A155),1,holidays_US!$A:$A)</f>
        <v>44055</v>
      </c>
    </row>
    <row r="156" spans="1:3" x14ac:dyDescent="0.2">
      <c r="A156" s="11">
        <v>44055.333136574074</v>
      </c>
      <c r="B156" s="6">
        <v>0.09</v>
      </c>
      <c r="C156" s="11">
        <f>WORKDAY(INT($A156),1,holidays_US!$A:$A)</f>
        <v>44056</v>
      </c>
    </row>
    <row r="157" spans="1:3" x14ac:dyDescent="0.2">
      <c r="A157" s="11">
        <v>44056.333055555559</v>
      </c>
      <c r="B157" s="6">
        <v>0.09</v>
      </c>
      <c r="C157" s="11">
        <f>WORKDAY(INT($A157),1,holidays_US!$A:$A)</f>
        <v>44057</v>
      </c>
    </row>
    <row r="158" spans="1:3" x14ac:dyDescent="0.2">
      <c r="A158" s="11">
        <v>44057.333356481482</v>
      </c>
      <c r="B158" s="6">
        <v>0.09</v>
      </c>
      <c r="C158" s="11">
        <f>WORKDAY(INT($A158),1,holidays_US!$A:$A)</f>
        <v>44060</v>
      </c>
    </row>
    <row r="159" spans="1:3" x14ac:dyDescent="0.2">
      <c r="A159" s="11">
        <v>44060.333402777775</v>
      </c>
      <c r="B159" s="6">
        <v>0.1</v>
      </c>
      <c r="C159" s="11">
        <f>WORKDAY(INT($A159),1,holidays_US!$A:$A)</f>
        <v>44061</v>
      </c>
    </row>
    <row r="160" spans="1:3" x14ac:dyDescent="0.2">
      <c r="A160" s="11">
        <v>44061.333252314813</v>
      </c>
      <c r="B160" s="6">
        <v>0.09</v>
      </c>
      <c r="C160" s="11">
        <f>WORKDAY(INT($A160),1,holidays_US!$A:$A)</f>
        <v>44062</v>
      </c>
    </row>
    <row r="161" spans="1:3" x14ac:dyDescent="0.2">
      <c r="A161" s="11">
        <v>44062.333124999997</v>
      </c>
      <c r="B161" s="6">
        <v>0.09</v>
      </c>
      <c r="C161" s="11">
        <f>WORKDAY(INT($A161),1,holidays_US!$A:$A)</f>
        <v>44063</v>
      </c>
    </row>
    <row r="162" spans="1:3" x14ac:dyDescent="0.2">
      <c r="A162" s="11">
        <v>44063.333194444444</v>
      </c>
      <c r="B162" s="6">
        <v>7.0000000000000007E-2</v>
      </c>
      <c r="C162" s="11">
        <f>WORKDAY(INT($A162),1,holidays_US!$A:$A)</f>
        <v>44064</v>
      </c>
    </row>
    <row r="163" spans="1:3" x14ac:dyDescent="0.2">
      <c r="A163" s="11">
        <v>44064.333379629628</v>
      </c>
      <c r="B163" s="6">
        <v>7.0000000000000007E-2</v>
      </c>
      <c r="C163" s="11">
        <f>WORKDAY(INT($A163),1,holidays_US!$A:$A)</f>
        <v>44067</v>
      </c>
    </row>
    <row r="164" spans="1:3" x14ac:dyDescent="0.2">
      <c r="A164" s="11">
        <v>44067.333541666667</v>
      </c>
      <c r="B164" s="6">
        <v>0.08</v>
      </c>
      <c r="C164" s="11">
        <f>WORKDAY(INT($A164),1,holidays_US!$A:$A)</f>
        <v>44068</v>
      </c>
    </row>
    <row r="165" spans="1:3" x14ac:dyDescent="0.2">
      <c r="A165" s="11">
        <v>44068.333437499998</v>
      </c>
      <c r="B165" s="6">
        <v>0.08</v>
      </c>
      <c r="C165" s="11">
        <f>WORKDAY(INT($A165),1,holidays_US!$A:$A)</f>
        <v>44069</v>
      </c>
    </row>
    <row r="166" spans="1:3" x14ac:dyDescent="0.2">
      <c r="A166" s="11">
        <v>44069.333356481482</v>
      </c>
      <c r="B166" s="6">
        <v>7.0000000000000007E-2</v>
      </c>
      <c r="C166" s="11">
        <f>WORKDAY(INT($A166),1,holidays_US!$A:$A)</f>
        <v>44070</v>
      </c>
    </row>
    <row r="167" spans="1:3" x14ac:dyDescent="0.2">
      <c r="A167" s="11">
        <v>44070.333414351851</v>
      </c>
      <c r="B167" s="6">
        <v>7.0000000000000007E-2</v>
      </c>
      <c r="C167" s="11">
        <f>WORKDAY(INT($A167),1,holidays_US!$A:$A)</f>
        <v>44071</v>
      </c>
    </row>
    <row r="168" spans="1:3" x14ac:dyDescent="0.2">
      <c r="A168" s="11">
        <v>44071.333379629628</v>
      </c>
      <c r="B168" s="6">
        <v>7.0000000000000007E-2</v>
      </c>
      <c r="C168" s="11">
        <f>WORKDAY(INT($A168),1,holidays_US!$A:$A)</f>
        <v>44074</v>
      </c>
    </row>
    <row r="169" spans="1:3" x14ac:dyDescent="0.2">
      <c r="A169" s="11">
        <v>44074.333483796298</v>
      </c>
      <c r="B169" s="6">
        <v>0.09</v>
      </c>
      <c r="C169" s="11">
        <f>WORKDAY(INT($A169),1,holidays_US!$A:$A)</f>
        <v>44075</v>
      </c>
    </row>
    <row r="170" spans="1:3" x14ac:dyDescent="0.2">
      <c r="A170" s="11">
        <v>44075.333541666667</v>
      </c>
      <c r="B170" s="6">
        <v>0.09</v>
      </c>
      <c r="C170" s="11">
        <f>WORKDAY(INT($A170),1,holidays_US!$A:$A)</f>
        <v>44076</v>
      </c>
    </row>
    <row r="171" spans="1:3" x14ac:dyDescent="0.2">
      <c r="A171" s="11">
        <v>44076.333460648151</v>
      </c>
      <c r="B171" s="6">
        <v>0.09</v>
      </c>
      <c r="C171" s="11">
        <f>WORKDAY(INT($A171),1,holidays_US!$A:$A)</f>
        <v>44077</v>
      </c>
    </row>
    <row r="172" spans="1:3" x14ac:dyDescent="0.2">
      <c r="A172" s="11">
        <v>44077.333171296297</v>
      </c>
      <c r="B172" s="6">
        <v>0.1</v>
      </c>
      <c r="C172" s="11">
        <f>WORKDAY(INT($A172),1,holidays_US!$A:$A)</f>
        <v>44078</v>
      </c>
    </row>
    <row r="173" spans="1:3" x14ac:dyDescent="0.2">
      <c r="A173" s="11">
        <v>44078.332939814813</v>
      </c>
      <c r="B173" s="6">
        <v>0.09</v>
      </c>
      <c r="C173" s="11">
        <f>WORKDAY(INT($A173),1,holidays_US!$A:$A)</f>
        <v>44082</v>
      </c>
    </row>
    <row r="174" spans="1:3" x14ac:dyDescent="0.2">
      <c r="A174" s="11">
        <v>44082.333333333336</v>
      </c>
      <c r="B174" s="6">
        <v>0.09</v>
      </c>
      <c r="C174" s="11">
        <f>WORKDAY(INT($A174),1,holidays_US!$A:$A)</f>
        <v>44083</v>
      </c>
    </row>
    <row r="175" spans="1:3" x14ac:dyDescent="0.2">
      <c r="A175" s="11">
        <v>44083.332962962966</v>
      </c>
      <c r="B175" s="6">
        <v>0.09</v>
      </c>
      <c r="C175" s="11">
        <f>WORKDAY(INT($A175),1,holidays_US!$A:$A)</f>
        <v>44084</v>
      </c>
    </row>
    <row r="176" spans="1:3" x14ac:dyDescent="0.2">
      <c r="A176" s="11">
        <v>44084.333113425928</v>
      </c>
      <c r="B176" s="6">
        <v>0.09</v>
      </c>
      <c r="C176" s="11">
        <f>WORKDAY(INT($A176),1,holidays_US!$A:$A)</f>
        <v>44085</v>
      </c>
    </row>
    <row r="177" spans="1:3" x14ac:dyDescent="0.2">
      <c r="A177" s="11">
        <v>44085.33321759259</v>
      </c>
      <c r="B177" s="6">
        <v>0.09</v>
      </c>
      <c r="C177" s="11">
        <f>WORKDAY(INT($A177),1,holidays_US!$A:$A)</f>
        <v>44088</v>
      </c>
    </row>
    <row r="178" spans="1:3" x14ac:dyDescent="0.2">
      <c r="A178" s="11">
        <v>44088.333287037036</v>
      </c>
      <c r="B178" s="6">
        <v>0.09</v>
      </c>
      <c r="C178" s="11">
        <f>WORKDAY(INT($A178),1,holidays_US!$A:$A)</f>
        <v>44089</v>
      </c>
    </row>
    <row r="179" spans="1:3" x14ac:dyDescent="0.2">
      <c r="A179" s="11">
        <v>44089.333379629628</v>
      </c>
      <c r="B179" s="6">
        <v>0.1</v>
      </c>
      <c r="C179" s="11">
        <f>WORKDAY(INT($A179),1,holidays_US!$A:$A)</f>
        <v>44090</v>
      </c>
    </row>
    <row r="180" spans="1:3" x14ac:dyDescent="0.2">
      <c r="A180" s="11">
        <v>44090.333414351851</v>
      </c>
      <c r="B180" s="6">
        <v>0.1</v>
      </c>
      <c r="C180" s="11">
        <f>WORKDAY(INT($A180),1,holidays_US!$A:$A)</f>
        <v>44091</v>
      </c>
    </row>
    <row r="181" spans="1:3" x14ac:dyDescent="0.2">
      <c r="A181" s="11">
        <v>44091.333032407405</v>
      </c>
      <c r="B181" s="6">
        <v>0.1</v>
      </c>
      <c r="C181" s="11">
        <f>WORKDAY(INT($A181),1,holidays_US!$A:$A)</f>
        <v>44092</v>
      </c>
    </row>
    <row r="182" spans="1:3" x14ac:dyDescent="0.2">
      <c r="A182" s="11">
        <v>44092.333634259259</v>
      </c>
      <c r="B182" s="6">
        <v>0.09</v>
      </c>
      <c r="C182" s="11">
        <f>WORKDAY(INT($A182),1,holidays_US!$A:$A)</f>
        <v>44095</v>
      </c>
    </row>
    <row r="183" spans="1:3" x14ac:dyDescent="0.2">
      <c r="A183" s="11">
        <v>44095.333495370367</v>
      </c>
      <c r="B183" s="6">
        <v>0.08</v>
      </c>
      <c r="C183" s="11">
        <f>WORKDAY(INT($A183),1,holidays_US!$A:$A)</f>
        <v>44096</v>
      </c>
    </row>
    <row r="184" spans="1:3" x14ac:dyDescent="0.2">
      <c r="A184" s="11">
        <v>44096.333437499998</v>
      </c>
      <c r="B184" s="6">
        <v>7.0000000000000007E-2</v>
      </c>
      <c r="C184" s="11">
        <f>WORKDAY(INT($A184),1,holidays_US!$A:$A)</f>
        <v>44097</v>
      </c>
    </row>
    <row r="185" spans="1:3" x14ac:dyDescent="0.2">
      <c r="A185" s="11">
        <v>44097.333587962959</v>
      </c>
      <c r="B185" s="6">
        <v>0.06</v>
      </c>
      <c r="C185" s="11">
        <f>WORKDAY(INT($A185),1,holidays_US!$A:$A)</f>
        <v>44098</v>
      </c>
    </row>
    <row r="186" spans="1:3" x14ac:dyDescent="0.2">
      <c r="A186" s="11">
        <v>44098.333564814813</v>
      </c>
      <c r="B186" s="6">
        <v>7.0000000000000007E-2</v>
      </c>
      <c r="C186" s="11">
        <f>WORKDAY(INT($A186),1,holidays_US!$A:$A)</f>
        <v>44099</v>
      </c>
    </row>
    <row r="187" spans="1:3" x14ac:dyDescent="0.2">
      <c r="A187" s="11">
        <v>44099.333194444444</v>
      </c>
      <c r="B187" s="6">
        <v>0.08</v>
      </c>
      <c r="C187" s="11">
        <f>WORKDAY(INT($A187),1,holidays_US!$A:$A)</f>
        <v>44102</v>
      </c>
    </row>
    <row r="188" spans="1:3" x14ac:dyDescent="0.2">
      <c r="A188" s="11">
        <v>44102.333287037036</v>
      </c>
      <c r="B188" s="6">
        <v>0.08</v>
      </c>
      <c r="C188" s="11">
        <f>WORKDAY(INT($A188),1,holidays_US!$A:$A)</f>
        <v>44103</v>
      </c>
    </row>
    <row r="189" spans="1:3" x14ac:dyDescent="0.2">
      <c r="A189" s="11">
        <v>44103.333113425928</v>
      </c>
      <c r="B189" s="6">
        <v>7.0000000000000007E-2</v>
      </c>
      <c r="C189" s="11">
        <f>WORKDAY(INT($A189),1,holidays_US!$A:$A)</f>
        <v>44104</v>
      </c>
    </row>
    <row r="190" spans="1:3" x14ac:dyDescent="0.2">
      <c r="A190" s="11">
        <v>44104.332939814813</v>
      </c>
      <c r="B190" s="6">
        <v>0.08</v>
      </c>
      <c r="C190" s="11">
        <f>WORKDAY(INT($A190),1,holidays_US!$A:$A)</f>
        <v>44105</v>
      </c>
    </row>
    <row r="191" spans="1:3" x14ac:dyDescent="0.2">
      <c r="A191" s="11">
        <v>44105.332928240743</v>
      </c>
      <c r="B191" s="6">
        <v>0.08</v>
      </c>
      <c r="C191" s="11">
        <f>WORKDAY(INT($A191),1,holidays_US!$A:$A)</f>
        <v>44106</v>
      </c>
    </row>
    <row r="192" spans="1:3" x14ac:dyDescent="0.2">
      <c r="A192" s="11">
        <v>44106.333310185182</v>
      </c>
      <c r="B192" s="6">
        <v>0.1</v>
      </c>
      <c r="C192" s="11">
        <f>WORKDAY(INT($A192),1,holidays_US!$A:$A)</f>
        <v>44109</v>
      </c>
    </row>
    <row r="193" spans="1:3" x14ac:dyDescent="0.2">
      <c r="A193" s="11">
        <v>44109.333252314813</v>
      </c>
      <c r="B193" s="6">
        <v>0.09</v>
      </c>
      <c r="C193" s="11">
        <f>WORKDAY(INT($A193),1,holidays_US!$A:$A)</f>
        <v>44110</v>
      </c>
    </row>
    <row r="194" spans="1:3" x14ac:dyDescent="0.2">
      <c r="A194" s="11">
        <v>44110.333020833335</v>
      </c>
      <c r="B194" s="6">
        <v>0.1</v>
      </c>
      <c r="C194" s="11">
        <f>WORKDAY(INT($A194),1,holidays_US!$A:$A)</f>
        <v>44111</v>
      </c>
    </row>
    <row r="195" spans="1:3" x14ac:dyDescent="0.2">
      <c r="A195" s="11">
        <v>44111.333368055559</v>
      </c>
      <c r="B195" s="6">
        <v>0.09</v>
      </c>
      <c r="C195" s="11">
        <f>WORKDAY(INT($A195),1,holidays_US!$A:$A)</f>
        <v>44112</v>
      </c>
    </row>
    <row r="196" spans="1:3" x14ac:dyDescent="0.2">
      <c r="A196" s="11">
        <v>44112.333101851851</v>
      </c>
      <c r="B196" s="6">
        <v>0.08</v>
      </c>
      <c r="C196" s="11">
        <f>WORKDAY(INT($A196),1,holidays_US!$A:$A)</f>
        <v>44113</v>
      </c>
    </row>
    <row r="197" spans="1:3" x14ac:dyDescent="0.2">
      <c r="A197" s="11">
        <v>44113.33326388889</v>
      </c>
      <c r="B197" s="6">
        <v>0.09</v>
      </c>
      <c r="C197" s="11">
        <f>WORKDAY(INT($A197),1,holidays_US!$A:$A)</f>
        <v>44117</v>
      </c>
    </row>
    <row r="198" spans="1:3" x14ac:dyDescent="0.2">
      <c r="A198" s="11">
        <v>44117.333101851851</v>
      </c>
      <c r="B198" s="6">
        <v>0.09</v>
      </c>
      <c r="C198" s="11">
        <f>WORKDAY(INT($A198),1,holidays_US!$A:$A)</f>
        <v>44118</v>
      </c>
    </row>
    <row r="199" spans="1:3" x14ac:dyDescent="0.2">
      <c r="A199" s="11">
        <v>44118.332974537036</v>
      </c>
      <c r="B199" s="6">
        <v>0.09</v>
      </c>
      <c r="C199" s="11">
        <f>WORKDAY(INT($A199),1,holidays_US!$A:$A)</f>
        <v>44119</v>
      </c>
    </row>
    <row r="200" spans="1:3" x14ac:dyDescent="0.2">
      <c r="A200" s="11">
        <v>44119.33326388889</v>
      </c>
      <c r="B200" s="6">
        <v>0.1</v>
      </c>
      <c r="C200" s="11">
        <f>WORKDAY(INT($A200),1,holidays_US!$A:$A)</f>
        <v>44120</v>
      </c>
    </row>
    <row r="201" spans="1:3" x14ac:dyDescent="0.2">
      <c r="A201" s="11">
        <v>44120.33315972222</v>
      </c>
      <c r="B201" s="6">
        <v>0.09</v>
      </c>
      <c r="C201" s="11">
        <f>WORKDAY(INT($A201),1,holidays_US!$A:$A)</f>
        <v>44123</v>
      </c>
    </row>
    <row r="202" spans="1:3" x14ac:dyDescent="0.2">
      <c r="A202" s="11">
        <v>44123.332789351851</v>
      </c>
      <c r="B202" s="6">
        <v>0.09</v>
      </c>
      <c r="C202" s="11">
        <f>WORKDAY(INT($A202),1,holidays_US!$A:$A)</f>
        <v>44124</v>
      </c>
    </row>
    <row r="203" spans="1:3" x14ac:dyDescent="0.2">
      <c r="A203" s="11">
        <v>44124.333182870374</v>
      </c>
      <c r="B203" s="6">
        <v>0.08</v>
      </c>
      <c r="C203" s="11">
        <f>WORKDAY(INT($A203),1,holidays_US!$A:$A)</f>
        <v>44125</v>
      </c>
    </row>
    <row r="204" spans="1:3" x14ac:dyDescent="0.2">
      <c r="A204" s="11">
        <v>44125.333229166667</v>
      </c>
      <c r="B204" s="6">
        <v>7.0000000000000007E-2</v>
      </c>
      <c r="C204" s="11">
        <f>WORKDAY(INT($A204),1,holidays_US!$A:$A)</f>
        <v>44126</v>
      </c>
    </row>
    <row r="205" spans="1:3" x14ac:dyDescent="0.2">
      <c r="A205" s="11">
        <v>44126.33320601852</v>
      </c>
      <c r="B205" s="6">
        <v>7.0000000000000007E-2</v>
      </c>
      <c r="C205" s="11">
        <f>WORKDAY(INT($A205),1,holidays_US!$A:$A)</f>
        <v>44127</v>
      </c>
    </row>
    <row r="206" spans="1:3" x14ac:dyDescent="0.2">
      <c r="A206" s="11">
        <v>44127.332766203705</v>
      </c>
      <c r="B206" s="6">
        <v>0.08</v>
      </c>
      <c r="C206" s="11">
        <f>WORKDAY(INT($A206),1,holidays_US!$A:$A)</f>
        <v>44130</v>
      </c>
    </row>
    <row r="207" spans="1:3" x14ac:dyDescent="0.2">
      <c r="A207" s="11">
        <v>44130.333229166667</v>
      </c>
      <c r="B207" s="6">
        <v>0.09</v>
      </c>
      <c r="C207" s="11">
        <f>WORKDAY(INT($A207),1,holidays_US!$A:$A)</f>
        <v>44131</v>
      </c>
    </row>
    <row r="208" spans="1:3" x14ac:dyDescent="0.2">
      <c r="A208" s="11">
        <v>44131.333032407405</v>
      </c>
      <c r="B208" s="6">
        <v>0.09</v>
      </c>
      <c r="C208" s="11">
        <f>WORKDAY(INT($A208),1,holidays_US!$A:$A)</f>
        <v>44132</v>
      </c>
    </row>
    <row r="209" spans="1:3" x14ac:dyDescent="0.2">
      <c r="A209" s="11">
        <v>44132.333194444444</v>
      </c>
      <c r="B209" s="6">
        <v>0.08</v>
      </c>
      <c r="C209" s="11">
        <f>WORKDAY(INT($A209),1,holidays_US!$A:$A)</f>
        <v>44133</v>
      </c>
    </row>
    <row r="210" spans="1:3" x14ac:dyDescent="0.2">
      <c r="A210" s="11">
        <v>44133.333101851851</v>
      </c>
      <c r="B210" s="6">
        <v>0.09</v>
      </c>
      <c r="C210" s="11">
        <f>WORKDAY(INT($A210),1,holidays_US!$A:$A)</f>
        <v>44134</v>
      </c>
    </row>
    <row r="211" spans="1:3" x14ac:dyDescent="0.2">
      <c r="A211" s="11">
        <v>44134.374780092592</v>
      </c>
      <c r="B211" s="6">
        <v>0.09</v>
      </c>
      <c r="C211" s="11">
        <f>WORKDAY(INT($A211),1,holidays_US!$A:$A)</f>
        <v>44137</v>
      </c>
    </row>
    <row r="212" spans="1:3" x14ac:dyDescent="0.2">
      <c r="A212" s="11">
        <v>44137.333414351851</v>
      </c>
      <c r="B212" s="6">
        <v>0.11</v>
      </c>
      <c r="C212" s="11">
        <f>WORKDAY(INT($A212),1,holidays_US!$A:$A)</f>
        <v>44138</v>
      </c>
    </row>
    <row r="213" spans="1:3" x14ac:dyDescent="0.2">
      <c r="A213" s="11">
        <v>44138.332858796297</v>
      </c>
      <c r="B213" s="6">
        <v>0.1</v>
      </c>
      <c r="C213" s="11">
        <f>WORKDAY(INT($A213),1,holidays_US!$A:$A)</f>
        <v>44139</v>
      </c>
    </row>
    <row r="214" spans="1:3" x14ac:dyDescent="0.2">
      <c r="A214" s="11">
        <v>44139.333321759259</v>
      </c>
      <c r="B214" s="6">
        <v>0.1</v>
      </c>
      <c r="C214" s="11">
        <f>WORKDAY(INT($A214),1,holidays_US!$A:$A)</f>
        <v>44140</v>
      </c>
    </row>
    <row r="215" spans="1:3" x14ac:dyDescent="0.2">
      <c r="A215" s="11">
        <v>44140.333113425928</v>
      </c>
      <c r="B215" s="6">
        <v>0.11</v>
      </c>
      <c r="C215" s="11">
        <f>WORKDAY(INT($A215),1,holidays_US!$A:$A)</f>
        <v>44141</v>
      </c>
    </row>
    <row r="216" spans="1:3" x14ac:dyDescent="0.2">
      <c r="A216" s="11">
        <v>44141.33315972222</v>
      </c>
      <c r="B216" s="6">
        <v>0.1</v>
      </c>
      <c r="C216" s="11">
        <f>WORKDAY(INT($A216),1,holidays_US!$A:$A)</f>
        <v>44144</v>
      </c>
    </row>
    <row r="217" spans="1:3" x14ac:dyDescent="0.2">
      <c r="A217" s="11">
        <v>44144.333113425928</v>
      </c>
      <c r="B217" s="6">
        <v>0.1</v>
      </c>
      <c r="C217" s="11">
        <f>WORKDAY(INT($A217),1,holidays_US!$A:$A)</f>
        <v>44145</v>
      </c>
    </row>
    <row r="218" spans="1:3" x14ac:dyDescent="0.2">
      <c r="A218" s="11">
        <v>44145.333182870374</v>
      </c>
      <c r="B218" s="6">
        <v>0.1</v>
      </c>
      <c r="C218" s="11">
        <f>WORKDAY(INT($A218),1,holidays_US!$A:$A)</f>
        <v>44147</v>
      </c>
    </row>
    <row r="219" spans="1:3" x14ac:dyDescent="0.2">
      <c r="A219" s="11">
        <v>44147.333194444444</v>
      </c>
      <c r="B219" s="6">
        <v>0.09</v>
      </c>
      <c r="C219" s="11">
        <f>WORKDAY(INT($A219),1,holidays_US!$A:$A)</f>
        <v>44148</v>
      </c>
    </row>
    <row r="220" spans="1:3" x14ac:dyDescent="0.2">
      <c r="A220" s="11">
        <v>44148.333182870374</v>
      </c>
      <c r="B220" s="6">
        <v>0.09</v>
      </c>
      <c r="C220" s="11">
        <f>WORKDAY(INT($A220),1,holidays_US!$A:$A)</f>
        <v>44151</v>
      </c>
    </row>
    <row r="221" spans="1:3" x14ac:dyDescent="0.2">
      <c r="A221" s="11">
        <v>44151.332986111112</v>
      </c>
      <c r="B221" s="6">
        <v>0.1</v>
      </c>
      <c r="C221" s="11">
        <f>WORKDAY(INT($A221),1,holidays_US!$A:$A)</f>
        <v>44152</v>
      </c>
    </row>
    <row r="222" spans="1:3" x14ac:dyDescent="0.2">
      <c r="A222" s="11">
        <v>44152.332974537036</v>
      </c>
      <c r="B222" s="6">
        <v>0.09</v>
      </c>
      <c r="C222" s="11">
        <f>WORKDAY(INT($A222),1,holidays_US!$A:$A)</f>
        <v>44153</v>
      </c>
    </row>
    <row r="223" spans="1:3" x14ac:dyDescent="0.2">
      <c r="A223" s="11">
        <v>44153.332939814813</v>
      </c>
      <c r="B223" s="6">
        <v>7.0000000000000007E-2</v>
      </c>
      <c r="C223" s="11">
        <f>WORKDAY(INT($A223),1,holidays_US!$A:$A)</f>
        <v>44154</v>
      </c>
    </row>
    <row r="224" spans="1:3" x14ac:dyDescent="0.2">
      <c r="A224" s="11">
        <v>44154.33321759259</v>
      </c>
      <c r="B224" s="6">
        <v>0.06</v>
      </c>
      <c r="C224" s="11">
        <f>WORKDAY(INT($A224),1,holidays_US!$A:$A)</f>
        <v>44155</v>
      </c>
    </row>
    <row r="225" spans="1:3" x14ac:dyDescent="0.2">
      <c r="A225" s="11">
        <v>44155.332939814813</v>
      </c>
      <c r="B225" s="6">
        <v>0.05</v>
      </c>
      <c r="C225" s="11">
        <f>WORKDAY(INT($A225),1,holidays_US!$A:$A)</f>
        <v>44158</v>
      </c>
    </row>
    <row r="226" spans="1:3" x14ac:dyDescent="0.2">
      <c r="A226" s="11">
        <v>44158.333333333336</v>
      </c>
      <c r="B226" s="6">
        <v>0.05</v>
      </c>
      <c r="C226" s="11">
        <f>WORKDAY(INT($A226),1,holidays_US!$A:$A)</f>
        <v>44159</v>
      </c>
    </row>
    <row r="227" spans="1:3" x14ac:dyDescent="0.2">
      <c r="A227" s="11">
        <v>44159.333344907405</v>
      </c>
      <c r="B227" s="6">
        <v>7.0000000000000007E-2</v>
      </c>
      <c r="C227" s="11">
        <f>WORKDAY(INT($A227),1,holidays_US!$A:$A)</f>
        <v>44160</v>
      </c>
    </row>
    <row r="228" spans="1:3" x14ac:dyDescent="0.2">
      <c r="A228" s="11">
        <v>44160.33284722222</v>
      </c>
      <c r="B228" s="6">
        <v>0.08</v>
      </c>
      <c r="C228" s="11">
        <f>WORKDAY(INT($A228),1,holidays_US!$A:$A)</f>
        <v>44162</v>
      </c>
    </row>
    <row r="229" spans="1:3" x14ac:dyDescent="0.2">
      <c r="A229" s="11">
        <v>44162.333460648151</v>
      </c>
      <c r="B229" s="6">
        <v>0.08</v>
      </c>
      <c r="C229" s="11">
        <f>WORKDAY(INT($A229),1,holidays_US!$A:$A)</f>
        <v>44165</v>
      </c>
    </row>
    <row r="230" spans="1:3" x14ac:dyDescent="0.2">
      <c r="A230" s="11">
        <v>44165.333124999997</v>
      </c>
      <c r="B230" s="6">
        <v>0.09</v>
      </c>
      <c r="C230" s="11">
        <f>WORKDAY(INT($A230),1,holidays_US!$A:$A)</f>
        <v>44166</v>
      </c>
    </row>
    <row r="231" spans="1:3" x14ac:dyDescent="0.2">
      <c r="A231" s="11">
        <v>44166.333240740743</v>
      </c>
      <c r="B231" s="6">
        <v>0.08</v>
      </c>
      <c r="C231" s="11">
        <f>WORKDAY(INT($A231),1,holidays_US!$A:$A)</f>
        <v>44167</v>
      </c>
    </row>
    <row r="232" spans="1:3" x14ac:dyDescent="0.2">
      <c r="A232" s="11">
        <v>44167.333379629628</v>
      </c>
      <c r="B232" s="6">
        <v>0.08</v>
      </c>
      <c r="C232" s="11">
        <f>WORKDAY(INT($A232),1,holidays_US!$A:$A)</f>
        <v>44168</v>
      </c>
    </row>
    <row r="233" spans="1:3" x14ac:dyDescent="0.2">
      <c r="A233" s="11">
        <v>44168.332997685182</v>
      </c>
      <c r="B233" s="6">
        <v>0.08</v>
      </c>
      <c r="C233" s="11">
        <f>WORKDAY(INT($A233),1,holidays_US!$A:$A)</f>
        <v>44169</v>
      </c>
    </row>
    <row r="234" spans="1:3" x14ac:dyDescent="0.2">
      <c r="A234" s="11">
        <v>44169.333182870374</v>
      </c>
      <c r="B234" s="6">
        <v>0.09</v>
      </c>
      <c r="C234" s="11">
        <f>WORKDAY(INT($A234),1,holidays_US!$A:$A)</f>
        <v>44172</v>
      </c>
    </row>
    <row r="235" spans="1:3" x14ac:dyDescent="0.2">
      <c r="A235" s="11">
        <v>44172.333368055559</v>
      </c>
      <c r="B235" s="6">
        <v>0.08</v>
      </c>
      <c r="C235" s="11">
        <f>WORKDAY(INT($A235),1,holidays_US!$A:$A)</f>
        <v>44173</v>
      </c>
    </row>
    <row r="236" spans="1:3" x14ac:dyDescent="0.2">
      <c r="A236" s="11">
        <v>44173.333252314813</v>
      </c>
      <c r="B236" s="6">
        <v>7.0000000000000007E-2</v>
      </c>
      <c r="C236" s="11">
        <f>WORKDAY(INT($A236),1,holidays_US!$A:$A)</f>
        <v>44174</v>
      </c>
    </row>
    <row r="237" spans="1:3" x14ac:dyDescent="0.2">
      <c r="A237" s="11">
        <v>44174.333090277774</v>
      </c>
      <c r="B237" s="6">
        <v>0.08</v>
      </c>
      <c r="C237" s="11">
        <f>WORKDAY(INT($A237),1,holidays_US!$A:$A)</f>
        <v>44175</v>
      </c>
    </row>
    <row r="238" spans="1:3" x14ac:dyDescent="0.2">
      <c r="A238" s="11">
        <v>44175.333310185182</v>
      </c>
      <c r="B238" s="6">
        <v>0.08</v>
      </c>
      <c r="C238" s="11">
        <f>WORKDAY(INT($A238),1,holidays_US!$A:$A)</f>
        <v>44176</v>
      </c>
    </row>
    <row r="239" spans="1:3" x14ac:dyDescent="0.2">
      <c r="A239" s="11">
        <v>44176.333506944444</v>
      </c>
      <c r="B239" s="6">
        <v>0.08</v>
      </c>
      <c r="C239" s="11">
        <f>WORKDAY(INT($A239),1,holidays_US!$A:$A)</f>
        <v>44179</v>
      </c>
    </row>
    <row r="240" spans="1:3" x14ac:dyDescent="0.2">
      <c r="A240" s="11">
        <v>44179.333032407405</v>
      </c>
      <c r="B240" s="6">
        <v>0.08</v>
      </c>
      <c r="C240" s="11">
        <f>WORKDAY(INT($A240),1,holidays_US!$A:$A)</f>
        <v>44180</v>
      </c>
    </row>
    <row r="241" spans="1:3" x14ac:dyDescent="0.2">
      <c r="A241" s="11">
        <v>44180.333298611113</v>
      </c>
      <c r="B241" s="6">
        <v>0.09</v>
      </c>
      <c r="C241" s="11">
        <f>WORKDAY(INT($A241),1,holidays_US!$A:$A)</f>
        <v>44181</v>
      </c>
    </row>
    <row r="242" spans="1:3" x14ac:dyDescent="0.2">
      <c r="A242" s="11">
        <v>44181.333252314813</v>
      </c>
      <c r="B242" s="6">
        <v>0.09</v>
      </c>
      <c r="C242" s="11">
        <f>WORKDAY(INT($A242),1,holidays_US!$A:$A)</f>
        <v>44182</v>
      </c>
    </row>
    <row r="243" spans="1:3" x14ac:dyDescent="0.2">
      <c r="A243" s="11">
        <v>44182.333368055559</v>
      </c>
      <c r="B243" s="6">
        <v>0.09</v>
      </c>
      <c r="C243" s="11">
        <f>WORKDAY(INT($A243),1,holidays_US!$A:$A)</f>
        <v>44183</v>
      </c>
    </row>
    <row r="244" spans="1:3" x14ac:dyDescent="0.2">
      <c r="A244" s="11">
        <v>44183.333437499998</v>
      </c>
      <c r="B244" s="6">
        <v>0.09</v>
      </c>
      <c r="C244" s="11">
        <f>WORKDAY(INT($A244),1,holidays_US!$A:$A)</f>
        <v>44186</v>
      </c>
    </row>
    <row r="245" spans="1:3" x14ac:dyDescent="0.2">
      <c r="A245" s="11">
        <v>44186.333287037036</v>
      </c>
      <c r="B245" s="6">
        <v>0.09</v>
      </c>
      <c r="C245" s="11">
        <f>WORKDAY(INT($A245),1,holidays_US!$A:$A)</f>
        <v>44187</v>
      </c>
    </row>
    <row r="246" spans="1:3" x14ac:dyDescent="0.2">
      <c r="A246" s="11">
        <v>44187.33289351852</v>
      </c>
      <c r="B246" s="6">
        <v>7.0000000000000007E-2</v>
      </c>
      <c r="C246" s="11">
        <f>WORKDAY(INT($A246),1,holidays_US!$A:$A)</f>
        <v>44188</v>
      </c>
    </row>
    <row r="247" spans="1:3" x14ac:dyDescent="0.2">
      <c r="A247" s="11">
        <v>44188.333321759259</v>
      </c>
      <c r="B247" s="6">
        <v>0.06</v>
      </c>
      <c r="C247" s="11">
        <f>WORKDAY(INT($A247),1,holidays_US!$A:$A)</f>
        <v>44189</v>
      </c>
    </row>
    <row r="248" spans="1:3" x14ac:dyDescent="0.2">
      <c r="A248" s="11">
        <v>44189.333310185182</v>
      </c>
      <c r="B248" s="6">
        <v>0.08</v>
      </c>
      <c r="C248" s="11">
        <f>WORKDAY(INT($A248),1,holidays_US!$A:$A)</f>
        <v>44193</v>
      </c>
    </row>
    <row r="249" spans="1:3" x14ac:dyDescent="0.2">
      <c r="A249" s="11">
        <v>44193.332951388889</v>
      </c>
      <c r="B249" s="6">
        <v>0.09</v>
      </c>
      <c r="C249" s="11">
        <f>WORKDAY(INT($A249),1,holidays_US!$A:$A)</f>
        <v>44194</v>
      </c>
    </row>
    <row r="250" spans="1:3" x14ac:dyDescent="0.2">
      <c r="A250" s="11">
        <v>44194.332812499997</v>
      </c>
      <c r="B250" s="6">
        <v>0.1</v>
      </c>
      <c r="C250" s="11">
        <f>WORKDAY(INT($A250),1,holidays_US!$A:$A)</f>
        <v>44195</v>
      </c>
    </row>
    <row r="251" spans="1:3" x14ac:dyDescent="0.2">
      <c r="A251" s="11">
        <v>44195.333252314813</v>
      </c>
      <c r="B251" s="6">
        <v>0.09</v>
      </c>
      <c r="C251" s="11">
        <f>WORKDAY(INT($A251),1,holidays_US!$A:$A)</f>
        <v>44196</v>
      </c>
    </row>
    <row r="252" spans="1:3" x14ac:dyDescent="0.2">
      <c r="A252" s="11">
        <v>44196.33326388889</v>
      </c>
      <c r="B252" s="6">
        <v>7.0000000000000007E-2</v>
      </c>
      <c r="C252" s="11">
        <f>WORKDAY(INT($A252),1,holidays_US!$A:$A)</f>
        <v>44200</v>
      </c>
    </row>
    <row r="253" spans="1:3" x14ac:dyDescent="0.2">
      <c r="A253" s="11">
        <v>44200.333321759259</v>
      </c>
      <c r="B253" s="6">
        <v>0.1</v>
      </c>
      <c r="C253" s="11">
        <f>WORKDAY(INT($A253),1,holidays_US!$A:$A)</f>
        <v>44201</v>
      </c>
    </row>
    <row r="254" spans="1:3" x14ac:dyDescent="0.2">
      <c r="A254" s="11">
        <v>44201.333229166667</v>
      </c>
      <c r="B254" s="6">
        <v>0.11</v>
      </c>
      <c r="C254" s="11">
        <f>WORKDAY(INT($A254),1,holidays_US!$A:$A)</f>
        <v>44202</v>
      </c>
    </row>
    <row r="255" spans="1:3" x14ac:dyDescent="0.2">
      <c r="A255" s="11">
        <v>44202.333113425928</v>
      </c>
      <c r="B255" s="6">
        <v>0.1</v>
      </c>
      <c r="C255" s="11">
        <f>WORKDAY(INT($A255),1,holidays_US!$A:$A)</f>
        <v>44203</v>
      </c>
    </row>
    <row r="256" spans="1:3" x14ac:dyDescent="0.2">
      <c r="A256" s="11">
        <v>44203.333275462966</v>
      </c>
      <c r="B256" s="6">
        <v>0.1</v>
      </c>
      <c r="C256" s="11">
        <f>WORKDAY(INT($A256),1,holidays_US!$A:$A)</f>
        <v>44204</v>
      </c>
    </row>
    <row r="257" spans="1:3" x14ac:dyDescent="0.2">
      <c r="A257" s="11">
        <v>44204.33326388889</v>
      </c>
      <c r="B257" s="6">
        <v>0.09</v>
      </c>
      <c r="C257" s="11">
        <f>WORKDAY(INT($A257),1,holidays_US!$A:$A)</f>
        <v>44207</v>
      </c>
    </row>
    <row r="258" spans="1:3" x14ac:dyDescent="0.2">
      <c r="A258" s="11">
        <v>44207.333171296297</v>
      </c>
      <c r="B258" s="6">
        <v>0.09</v>
      </c>
      <c r="C258" s="11">
        <f>WORKDAY(INT($A258),1,holidays_US!$A:$A)</f>
        <v>44208</v>
      </c>
    </row>
    <row r="259" spans="1:3" x14ac:dyDescent="0.2">
      <c r="A259" s="11">
        <v>44208.333090277774</v>
      </c>
      <c r="B259" s="6">
        <v>0.08</v>
      </c>
      <c r="C259" s="11">
        <f>WORKDAY(INT($A259),1,holidays_US!$A:$A)</f>
        <v>44209</v>
      </c>
    </row>
    <row r="260" spans="1:3" x14ac:dyDescent="0.2">
      <c r="A260" s="11">
        <v>44209.333171296297</v>
      </c>
      <c r="B260" s="6">
        <v>0.08</v>
      </c>
      <c r="C260" s="11">
        <f>WORKDAY(INT($A260),1,holidays_US!$A:$A)</f>
        <v>44210</v>
      </c>
    </row>
    <row r="261" spans="1:3" x14ac:dyDescent="0.2">
      <c r="A261" s="11">
        <v>44210.333310185182</v>
      </c>
      <c r="B261" s="6">
        <v>0.08</v>
      </c>
      <c r="C261" s="11">
        <f>WORKDAY(INT($A261),1,holidays_US!$A:$A)</f>
        <v>44211</v>
      </c>
    </row>
    <row r="262" spans="1:3" x14ac:dyDescent="0.2">
      <c r="A262" s="11">
        <v>44211.333310185182</v>
      </c>
      <c r="B262" s="6">
        <v>0.08</v>
      </c>
      <c r="C262" s="11">
        <f>WORKDAY(INT($A262),1,holidays_US!$A:$A)</f>
        <v>44215</v>
      </c>
    </row>
    <row r="263" spans="1:3" x14ac:dyDescent="0.2">
      <c r="A263" s="11">
        <v>44215.333055555559</v>
      </c>
      <c r="B263" s="6">
        <v>7.0000000000000007E-2</v>
      </c>
      <c r="C263" s="11">
        <f>WORKDAY(INT($A263),1,holidays_US!$A:$A)</f>
        <v>44216</v>
      </c>
    </row>
    <row r="264" spans="1:3" x14ac:dyDescent="0.2">
      <c r="A264" s="11">
        <v>44216.333275462966</v>
      </c>
      <c r="B264" s="6">
        <v>0.06</v>
      </c>
      <c r="C264" s="11">
        <f>WORKDAY(INT($A264),1,holidays_US!$A:$A)</f>
        <v>44217</v>
      </c>
    </row>
    <row r="265" spans="1:3" x14ac:dyDescent="0.2">
      <c r="A265" s="11">
        <v>44217.333414351851</v>
      </c>
      <c r="B265" s="6">
        <v>0.04</v>
      </c>
      <c r="C265" s="11">
        <f>WORKDAY(INT($A265),1,holidays_US!$A:$A)</f>
        <v>44218</v>
      </c>
    </row>
    <row r="266" spans="1:3" x14ac:dyDescent="0.2">
      <c r="A266" s="11">
        <v>44218.333587962959</v>
      </c>
      <c r="B266" s="6">
        <v>0.05</v>
      </c>
      <c r="C266" s="11">
        <f>WORKDAY(INT($A266),1,holidays_US!$A:$A)</f>
        <v>44221</v>
      </c>
    </row>
    <row r="267" spans="1:3" x14ac:dyDescent="0.2">
      <c r="A267" s="11">
        <v>44221.349675925929</v>
      </c>
      <c r="B267" s="6">
        <v>0.06</v>
      </c>
      <c r="C267" s="11">
        <f>WORKDAY(INT($A267),1,holidays_US!$A:$A)</f>
        <v>44222</v>
      </c>
    </row>
    <row r="268" spans="1:3" x14ac:dyDescent="0.2">
      <c r="A268" s="11">
        <v>44222.333518518521</v>
      </c>
      <c r="B268" s="6">
        <v>0.03</v>
      </c>
      <c r="C268" s="11">
        <f>WORKDAY(INT($A268),1,holidays_US!$A:$A)</f>
        <v>44223</v>
      </c>
    </row>
    <row r="269" spans="1:3" x14ac:dyDescent="0.2">
      <c r="A269" s="11">
        <v>44223.333055555559</v>
      </c>
      <c r="B269" s="6">
        <v>0.03</v>
      </c>
      <c r="C269" s="11">
        <f>WORKDAY(INT($A269),1,holidays_US!$A:$A)</f>
        <v>44224</v>
      </c>
    </row>
    <row r="270" spans="1:3" x14ac:dyDescent="0.2">
      <c r="A270" s="11">
        <v>44224.333055555559</v>
      </c>
      <c r="B270" s="6">
        <v>0.04</v>
      </c>
      <c r="C270" s="11">
        <f>WORKDAY(INT($A270),1,holidays_US!$A:$A)</f>
        <v>44225</v>
      </c>
    </row>
    <row r="271" spans="1:3" x14ac:dyDescent="0.2">
      <c r="A271" s="11">
        <v>44225.333020833335</v>
      </c>
      <c r="B271" s="6">
        <v>0.06</v>
      </c>
      <c r="C271" s="11">
        <f>WORKDAY(INT($A271),1,holidays_US!$A:$A)</f>
        <v>44228</v>
      </c>
    </row>
    <row r="272" spans="1:3" x14ac:dyDescent="0.2">
      <c r="A272" s="11">
        <v>44228.333194444444</v>
      </c>
      <c r="B272" s="6">
        <v>7.0000000000000007E-2</v>
      </c>
      <c r="C272" s="11">
        <f>WORKDAY(INT($A272),1,holidays_US!$A:$A)</f>
        <v>44229</v>
      </c>
    </row>
    <row r="273" spans="1:3" x14ac:dyDescent="0.2">
      <c r="A273" s="11">
        <v>44229.333518518521</v>
      </c>
      <c r="B273" s="6">
        <v>7.0000000000000007E-2</v>
      </c>
      <c r="C273" s="11">
        <f>WORKDAY(INT($A273),1,holidays_US!$A:$A)</f>
        <v>44230</v>
      </c>
    </row>
    <row r="274" spans="1:3" x14ac:dyDescent="0.2">
      <c r="A274" s="11">
        <v>44230.333368055559</v>
      </c>
      <c r="B274" s="6">
        <v>7.0000000000000007E-2</v>
      </c>
      <c r="C274" s="11">
        <f>WORKDAY(INT($A274),1,holidays_US!$A:$A)</f>
        <v>44231</v>
      </c>
    </row>
    <row r="275" spans="1:3" x14ac:dyDescent="0.2">
      <c r="A275" s="11">
        <v>44231.333229166667</v>
      </c>
      <c r="B275" s="6">
        <v>0.05</v>
      </c>
      <c r="C275" s="11">
        <f>WORKDAY(INT($A275),1,holidays_US!$A:$A)</f>
        <v>44232</v>
      </c>
    </row>
    <row r="276" spans="1:3" x14ac:dyDescent="0.2">
      <c r="A276" s="11">
        <v>44232.332881944443</v>
      </c>
      <c r="B276" s="6">
        <v>0.02</v>
      </c>
      <c r="C276" s="11">
        <f>WORKDAY(INT($A276),1,holidays_US!$A:$A)</f>
        <v>44235</v>
      </c>
    </row>
    <row r="277" spans="1:3" x14ac:dyDescent="0.2">
      <c r="A277" s="11">
        <v>44235.334409722222</v>
      </c>
      <c r="B277" s="6">
        <v>0.02</v>
      </c>
      <c r="C277" s="11">
        <f>WORKDAY(INT($A277),1,holidays_US!$A:$A)</f>
        <v>44236</v>
      </c>
    </row>
    <row r="278" spans="1:3" x14ac:dyDescent="0.2">
      <c r="A278" s="11">
        <v>44236.332916666666</v>
      </c>
      <c r="B278" s="6">
        <v>0.05</v>
      </c>
      <c r="C278" s="11">
        <f>WORKDAY(INT($A278),1,holidays_US!$A:$A)</f>
        <v>44237</v>
      </c>
    </row>
    <row r="279" spans="1:3" x14ac:dyDescent="0.2">
      <c r="A279" s="11">
        <v>44237.333298611113</v>
      </c>
      <c r="B279" s="6">
        <v>0.06</v>
      </c>
      <c r="C279" s="11">
        <f>WORKDAY(INT($A279),1,holidays_US!$A:$A)</f>
        <v>44238</v>
      </c>
    </row>
    <row r="280" spans="1:3" x14ac:dyDescent="0.2">
      <c r="A280" s="11">
        <v>44238.33315972222</v>
      </c>
      <c r="B280" s="6">
        <v>0.06</v>
      </c>
      <c r="C280" s="11">
        <f>WORKDAY(INT($A280),1,holidays_US!$A:$A)</f>
        <v>44239</v>
      </c>
    </row>
    <row r="281" spans="1:3" x14ac:dyDescent="0.2">
      <c r="A281" s="11">
        <v>44239.333275462966</v>
      </c>
      <c r="B281" s="6">
        <v>0.05</v>
      </c>
      <c r="C281" s="11">
        <f>WORKDAY(INT($A281),1,holidays_US!$A:$A)</f>
        <v>44243</v>
      </c>
    </row>
    <row r="282" spans="1:3" x14ac:dyDescent="0.2">
      <c r="A282" s="11">
        <v>44243.332858796297</v>
      </c>
      <c r="B282" s="6">
        <v>0.06</v>
      </c>
      <c r="C282" s="11">
        <f>WORKDAY(INT($A282),1,holidays_US!$A:$A)</f>
        <v>44244</v>
      </c>
    </row>
    <row r="283" spans="1:3" x14ac:dyDescent="0.2">
      <c r="A283" s="11">
        <v>44244.333472222221</v>
      </c>
      <c r="B283" s="6">
        <v>0.06</v>
      </c>
      <c r="C283" s="11">
        <f>WORKDAY(INT($A283),1,holidays_US!$A:$A)</f>
        <v>44245</v>
      </c>
    </row>
    <row r="284" spans="1:3" x14ac:dyDescent="0.2">
      <c r="A284" s="11">
        <v>44245.333298611113</v>
      </c>
      <c r="B284" s="6">
        <v>0.03</v>
      </c>
      <c r="C284" s="11">
        <f>WORKDAY(INT($A284),1,holidays_US!$A:$A)</f>
        <v>44246</v>
      </c>
    </row>
    <row r="285" spans="1:3" x14ac:dyDescent="0.2">
      <c r="A285" s="11">
        <v>44246.333124999997</v>
      </c>
      <c r="B285" s="6">
        <v>0.02</v>
      </c>
      <c r="C285" s="11">
        <f>WORKDAY(INT($A285),1,holidays_US!$A:$A)</f>
        <v>44249</v>
      </c>
    </row>
    <row r="286" spans="1:3" x14ac:dyDescent="0.2">
      <c r="A286" s="11">
        <v>44249.33326388889</v>
      </c>
      <c r="B286" s="6">
        <v>0.03</v>
      </c>
      <c r="C286" s="11">
        <f>WORKDAY(INT($A286),1,holidays_US!$A:$A)</f>
        <v>44250</v>
      </c>
    </row>
    <row r="287" spans="1:3" x14ac:dyDescent="0.2">
      <c r="A287" s="11">
        <v>44250.332974537036</v>
      </c>
      <c r="B287" s="6">
        <v>0.01</v>
      </c>
      <c r="C287" s="11">
        <f>WORKDAY(INT($A287),1,holidays_US!$A:$A)</f>
        <v>44251</v>
      </c>
    </row>
    <row r="288" spans="1:3" x14ac:dyDescent="0.2">
      <c r="A288" s="11">
        <v>44251.333275462966</v>
      </c>
      <c r="B288" s="6">
        <v>0.02</v>
      </c>
      <c r="C288" s="11">
        <f>WORKDAY(INT($A288),1,holidays_US!$A:$A)</f>
        <v>44252</v>
      </c>
    </row>
    <row r="289" spans="1:3" x14ac:dyDescent="0.2">
      <c r="A289" s="11">
        <v>44252.333321759259</v>
      </c>
      <c r="B289" s="6">
        <v>0.03</v>
      </c>
      <c r="C289" s="11">
        <f>WORKDAY(INT($A289),1,holidays_US!$A:$A)</f>
        <v>44253</v>
      </c>
    </row>
    <row r="290" spans="1:3" x14ac:dyDescent="0.2">
      <c r="A290" s="11">
        <v>44253.333287037036</v>
      </c>
      <c r="B290" s="6">
        <v>0.01</v>
      </c>
      <c r="C290" s="11">
        <f>WORKDAY(INT($A290),1,holidays_US!$A:$A)</f>
        <v>44256</v>
      </c>
    </row>
    <row r="291" spans="1:3" x14ac:dyDescent="0.2">
      <c r="A291" s="11">
        <v>44256.333078703705</v>
      </c>
      <c r="B291" s="6">
        <v>0.02</v>
      </c>
      <c r="C291" s="11">
        <f>WORKDAY(INT($A291),1,holidays_US!$A:$A)</f>
        <v>44257</v>
      </c>
    </row>
    <row r="292" spans="1:3" x14ac:dyDescent="0.2">
      <c r="A292" s="11">
        <v>44257.332939814813</v>
      </c>
      <c r="B292" s="6">
        <v>0.04</v>
      </c>
      <c r="C292" s="11">
        <f>WORKDAY(INT($A292),1,holidays_US!$A:$A)</f>
        <v>44258</v>
      </c>
    </row>
    <row r="293" spans="1:3" x14ac:dyDescent="0.2">
      <c r="A293" s="11">
        <v>44258.332870370374</v>
      </c>
      <c r="B293" s="6">
        <v>0.04</v>
      </c>
      <c r="C293" s="11">
        <f>WORKDAY(INT($A293),1,holidays_US!$A:$A)</f>
        <v>44259</v>
      </c>
    </row>
    <row r="294" spans="1:3" x14ac:dyDescent="0.2">
      <c r="A294" s="11">
        <v>44259.333275462966</v>
      </c>
      <c r="B294" s="6">
        <v>0.02</v>
      </c>
      <c r="C294" s="11">
        <f>WORKDAY(INT($A294),1,holidays_US!$A:$A)</f>
        <v>44260</v>
      </c>
    </row>
    <row r="295" spans="1:3" x14ac:dyDescent="0.2">
      <c r="A295" s="11">
        <v>44260.333113425928</v>
      </c>
      <c r="B295" s="6">
        <v>0.02</v>
      </c>
      <c r="C295" s="11">
        <f>WORKDAY(INT($A295),1,holidays_US!$A:$A)</f>
        <v>44263</v>
      </c>
    </row>
    <row r="296" spans="1:3" x14ac:dyDescent="0.2">
      <c r="A296" s="11">
        <v>44263.333090277774</v>
      </c>
      <c r="B296" s="6">
        <v>0.02</v>
      </c>
      <c r="C296" s="11">
        <f>WORKDAY(INT($A296),1,holidays_US!$A:$A)</f>
        <v>44264</v>
      </c>
    </row>
    <row r="297" spans="1:3" x14ac:dyDescent="0.2">
      <c r="A297" s="11">
        <v>44264.33320601852</v>
      </c>
      <c r="B297" s="6">
        <v>0.02</v>
      </c>
      <c r="C297" s="11">
        <f>WORKDAY(INT($A297),1,holidays_US!$A:$A)</f>
        <v>44265</v>
      </c>
    </row>
    <row r="298" spans="1:3" x14ac:dyDescent="0.2">
      <c r="A298" s="11">
        <v>44265.333287037036</v>
      </c>
      <c r="B298" s="6">
        <v>0.02</v>
      </c>
      <c r="C298" s="11">
        <f>WORKDAY(INT($A298),1,holidays_US!$A:$A)</f>
        <v>44266</v>
      </c>
    </row>
    <row r="299" spans="1:3" x14ac:dyDescent="0.2">
      <c r="A299" s="11">
        <v>44266.333229166667</v>
      </c>
      <c r="B299" s="6">
        <v>0.01</v>
      </c>
      <c r="C299" s="11">
        <f>WORKDAY(INT($A299),1,holidays_US!$A:$A)</f>
        <v>44267</v>
      </c>
    </row>
    <row r="300" spans="1:3" x14ac:dyDescent="0.2">
      <c r="A300" s="11">
        <v>44267.291516203702</v>
      </c>
      <c r="B300" s="6">
        <v>0.01</v>
      </c>
      <c r="C300" s="11">
        <f>WORKDAY(INT($A300),1,holidays_US!$A:$A)</f>
        <v>44270</v>
      </c>
    </row>
    <row r="301" spans="1:3" x14ac:dyDescent="0.2">
      <c r="A301" s="11">
        <v>44270.333136574074</v>
      </c>
      <c r="B301" s="6">
        <v>0.01</v>
      </c>
      <c r="C301" s="11">
        <f>WORKDAY(INT($A301),1,holidays_US!$A:$A)</f>
        <v>44271</v>
      </c>
    </row>
    <row r="302" spans="1:3" x14ac:dyDescent="0.2">
      <c r="A302" s="11">
        <v>44271.333275462966</v>
      </c>
      <c r="B302" s="6">
        <v>0.01</v>
      </c>
      <c r="C302" s="11">
        <f>WORKDAY(INT($A302),1,holidays_US!$A:$A)</f>
        <v>44272</v>
      </c>
    </row>
    <row r="303" spans="1:3" x14ac:dyDescent="0.2">
      <c r="A303" s="11">
        <v>44272.332962962966</v>
      </c>
      <c r="B303" s="6">
        <v>0.01</v>
      </c>
      <c r="C303" s="11">
        <f>WORKDAY(INT($A303),1,holidays_US!$A:$A)</f>
        <v>44273</v>
      </c>
    </row>
    <row r="304" spans="1:3" x14ac:dyDescent="0.2">
      <c r="A304" s="11">
        <v>44273.333078703705</v>
      </c>
      <c r="B304" s="6">
        <v>0.01</v>
      </c>
      <c r="C304" s="11">
        <f>WORKDAY(INT($A304),1,holidays_US!$A:$A)</f>
        <v>44274</v>
      </c>
    </row>
    <row r="305" spans="1:3" x14ac:dyDescent="0.2">
      <c r="A305" s="11">
        <v>44274.333379629628</v>
      </c>
      <c r="B305" s="6">
        <v>0.01</v>
      </c>
      <c r="C305" s="11">
        <f>WORKDAY(INT($A305),1,holidays_US!$A:$A)</f>
        <v>44277</v>
      </c>
    </row>
    <row r="306" spans="1:3" x14ac:dyDescent="0.2">
      <c r="A306" s="11">
        <v>44277.333194444444</v>
      </c>
      <c r="B306" s="6">
        <v>0.01</v>
      </c>
      <c r="C306" s="11">
        <f>WORKDAY(INT($A306),1,holidays_US!$A:$A)</f>
        <v>44278</v>
      </c>
    </row>
    <row r="307" spans="1:3" x14ac:dyDescent="0.2">
      <c r="A307" s="11">
        <v>44278.333182870374</v>
      </c>
      <c r="B307" s="6">
        <v>0.01</v>
      </c>
      <c r="C307" s="11">
        <f>WORKDAY(INT($A307),1,holidays_US!$A:$A)</f>
        <v>44279</v>
      </c>
    </row>
    <row r="308" spans="1:3" x14ac:dyDescent="0.2">
      <c r="A308" s="11">
        <v>44279.332789351851</v>
      </c>
      <c r="B308" s="6">
        <v>0.01</v>
      </c>
      <c r="C308" s="11">
        <f>WORKDAY(INT($A308),1,holidays_US!$A:$A)</f>
        <v>44280</v>
      </c>
    </row>
    <row r="309" spans="1:3" x14ac:dyDescent="0.2">
      <c r="A309" s="11">
        <v>44280.33289351852</v>
      </c>
      <c r="B309" s="6">
        <v>0.01</v>
      </c>
      <c r="C309" s="11">
        <f>WORKDAY(INT($A309),1,holidays_US!$A:$A)</f>
        <v>44281</v>
      </c>
    </row>
    <row r="310" spans="1:3" x14ac:dyDescent="0.2">
      <c r="A310" s="11">
        <v>44281.333541666667</v>
      </c>
      <c r="B310" s="6">
        <v>0.01</v>
      </c>
      <c r="C310" s="11">
        <f>WORKDAY(INT($A310),1,holidays_US!$A:$A)</f>
        <v>44284</v>
      </c>
    </row>
    <row r="311" spans="1:3" x14ac:dyDescent="0.2">
      <c r="A311" s="11">
        <v>44284.333067129628</v>
      </c>
      <c r="B311" s="6">
        <v>0.01</v>
      </c>
      <c r="C311" s="11">
        <f>WORKDAY(INT($A311),1,holidays_US!$A:$A)</f>
        <v>44285</v>
      </c>
    </row>
    <row r="312" spans="1:3" x14ac:dyDescent="0.2">
      <c r="A312" s="11">
        <v>44285.333055555559</v>
      </c>
      <c r="B312" s="6">
        <v>0.01</v>
      </c>
      <c r="C312" s="11">
        <f>WORKDAY(INT($A312),1,holidays_US!$A:$A)</f>
        <v>44286</v>
      </c>
    </row>
    <row r="313" spans="1:3" x14ac:dyDescent="0.2">
      <c r="A313" s="11">
        <v>44286.333321759259</v>
      </c>
      <c r="B313" s="6">
        <v>0.01</v>
      </c>
      <c r="C313" s="11">
        <f>WORKDAY(INT($A313),1,holidays_US!$A:$A)</f>
        <v>44287</v>
      </c>
    </row>
    <row r="314" spans="1:3" x14ac:dyDescent="0.2">
      <c r="A314" s="11">
        <v>44287.333148148151</v>
      </c>
      <c r="B314" s="6">
        <v>0.01</v>
      </c>
      <c r="C314" s="11">
        <f>WORKDAY(INT($A314),1,holidays_US!$A:$A)</f>
        <v>44288</v>
      </c>
    </row>
    <row r="315" spans="1:3" x14ac:dyDescent="0.2">
      <c r="A315" s="11">
        <v>44291.333356481482</v>
      </c>
      <c r="B315" s="6">
        <v>0.01</v>
      </c>
      <c r="C315" s="11">
        <f>WORKDAY(INT($A315),1,holidays_US!$A:$A)</f>
        <v>44292</v>
      </c>
    </row>
    <row r="316" spans="1:3" x14ac:dyDescent="0.2">
      <c r="A316" s="11">
        <v>44292.333275462966</v>
      </c>
      <c r="B316" s="6">
        <v>0.01</v>
      </c>
      <c r="C316" s="11">
        <f>WORKDAY(INT($A316),1,holidays_US!$A:$A)</f>
        <v>44293</v>
      </c>
    </row>
    <row r="317" spans="1:3" x14ac:dyDescent="0.2">
      <c r="A317" s="11">
        <v>44293.333402777775</v>
      </c>
      <c r="B317" s="6">
        <v>0.01</v>
      </c>
      <c r="C317" s="11">
        <f>WORKDAY(INT($A317),1,holidays_US!$A:$A)</f>
        <v>44294</v>
      </c>
    </row>
    <row r="318" spans="1:3" x14ac:dyDescent="0.2">
      <c r="A318" s="11">
        <v>44294.333321759259</v>
      </c>
      <c r="B318" s="6">
        <v>0.01</v>
      </c>
      <c r="C318" s="11">
        <f>WORKDAY(INT($A318),1,holidays_US!$A:$A)</f>
        <v>44295</v>
      </c>
    </row>
    <row r="319" spans="1:3" x14ac:dyDescent="0.2">
      <c r="A319" s="11">
        <v>44295.333032407405</v>
      </c>
      <c r="B319" s="6">
        <v>0.01</v>
      </c>
      <c r="C319" s="11">
        <f>WORKDAY(INT($A319),1,holidays_US!$A:$A)</f>
        <v>44298</v>
      </c>
    </row>
    <row r="320" spans="1:3" x14ac:dyDescent="0.2">
      <c r="A320" s="11">
        <v>44298.333182870374</v>
      </c>
      <c r="B320" s="6">
        <v>0.01</v>
      </c>
      <c r="C320" s="11">
        <f>WORKDAY(INT($A320),1,holidays_US!$A:$A)</f>
        <v>44299</v>
      </c>
    </row>
    <row r="321" spans="1:3" x14ac:dyDescent="0.2">
      <c r="A321" s="11">
        <v>44299.332824074074</v>
      </c>
      <c r="B321" s="6">
        <v>0.01</v>
      </c>
      <c r="C321" s="11">
        <f>WORKDAY(INT($A321),1,holidays_US!$A:$A)</f>
        <v>44300</v>
      </c>
    </row>
    <row r="322" spans="1:3" x14ac:dyDescent="0.2">
      <c r="A322" s="11">
        <v>44300.333020833335</v>
      </c>
      <c r="B322" s="6">
        <v>0.01</v>
      </c>
      <c r="C322" s="11">
        <f>WORKDAY(INT($A322),1,holidays_US!$A:$A)</f>
        <v>44301</v>
      </c>
    </row>
    <row r="323" spans="1:3" x14ac:dyDescent="0.2">
      <c r="A323" s="11">
        <v>44301.33320601852</v>
      </c>
      <c r="B323" s="6">
        <v>0.01</v>
      </c>
      <c r="C323" s="11">
        <f>WORKDAY(INT($A323),1,holidays_US!$A:$A)</f>
        <v>44302</v>
      </c>
    </row>
    <row r="324" spans="1:3" x14ac:dyDescent="0.2">
      <c r="A324" s="11">
        <v>44302.332939814813</v>
      </c>
      <c r="B324" s="6">
        <v>0.01</v>
      </c>
      <c r="C324" s="11">
        <f>WORKDAY(INT($A324),1,holidays_US!$A:$A)</f>
        <v>44305</v>
      </c>
    </row>
    <row r="325" spans="1:3" x14ac:dyDescent="0.2">
      <c r="A325" s="11">
        <v>44305.333321759259</v>
      </c>
      <c r="B325" s="6">
        <v>0.01</v>
      </c>
      <c r="C325" s="11">
        <f>WORKDAY(INT($A325),1,holidays_US!$A:$A)</f>
        <v>44306</v>
      </c>
    </row>
    <row r="326" spans="1:3" x14ac:dyDescent="0.2">
      <c r="A326" s="11">
        <v>44306.333136574074</v>
      </c>
      <c r="B326" s="6">
        <v>0.01</v>
      </c>
      <c r="C326" s="11">
        <f>WORKDAY(INT($A326),1,holidays_US!$A:$A)</f>
        <v>44307</v>
      </c>
    </row>
    <row r="327" spans="1:3" x14ac:dyDescent="0.2">
      <c r="A327" s="11">
        <v>44307.333067129628</v>
      </c>
      <c r="B327" s="6">
        <v>0.01</v>
      </c>
      <c r="C327" s="11">
        <f>WORKDAY(INT($A327),1,holidays_US!$A:$A)</f>
        <v>44308</v>
      </c>
    </row>
    <row r="328" spans="1:3" x14ac:dyDescent="0.2">
      <c r="A328" s="11">
        <v>44308.333333333336</v>
      </c>
      <c r="B328" s="6">
        <v>0.01</v>
      </c>
      <c r="C328" s="11">
        <f>WORKDAY(INT($A328),1,holidays_US!$A:$A)</f>
        <v>44309</v>
      </c>
    </row>
    <row r="329" spans="1:3" x14ac:dyDescent="0.2">
      <c r="A329" s="11">
        <v>44309.333541666667</v>
      </c>
      <c r="B329" s="6">
        <v>0.01</v>
      </c>
      <c r="C329" s="11">
        <f>WORKDAY(INT($A329),1,holidays_US!$A:$A)</f>
        <v>44312</v>
      </c>
    </row>
    <row r="330" spans="1:3" x14ac:dyDescent="0.2">
      <c r="A330" s="11">
        <v>44312.333344907405</v>
      </c>
      <c r="B330" s="6">
        <v>0.01</v>
      </c>
      <c r="C330" s="11">
        <f>WORKDAY(INT($A330),1,holidays_US!$A:$A)</f>
        <v>44313</v>
      </c>
    </row>
    <row r="331" spans="1:3" x14ac:dyDescent="0.2">
      <c r="A331" s="11">
        <v>44313.333148148151</v>
      </c>
      <c r="B331" s="6">
        <v>0.01</v>
      </c>
      <c r="C331" s="11">
        <f>WORKDAY(INT($A331),1,holidays_US!$A:$A)</f>
        <v>44314</v>
      </c>
    </row>
    <row r="332" spans="1:3" x14ac:dyDescent="0.2">
      <c r="A332" s="11">
        <v>44314.333321759259</v>
      </c>
      <c r="B332" s="6">
        <v>0.01</v>
      </c>
      <c r="C332" s="11">
        <f>WORKDAY(INT($A332),1,holidays_US!$A:$A)</f>
        <v>44315</v>
      </c>
    </row>
    <row r="333" spans="1:3" x14ac:dyDescent="0.2">
      <c r="A333" s="11">
        <v>44315.333194444444</v>
      </c>
      <c r="B333" s="6">
        <v>0.01</v>
      </c>
      <c r="C333" s="11">
        <f>WORKDAY(INT($A333),1,holidays_US!$A:$A)</f>
        <v>44316</v>
      </c>
    </row>
    <row r="334" spans="1:3" x14ac:dyDescent="0.2">
      <c r="A334" s="11">
        <v>44316.333229166667</v>
      </c>
      <c r="B334" s="6">
        <v>0.01</v>
      </c>
      <c r="C334" s="11">
        <f>WORKDAY(INT($A334),1,holidays_US!$A:$A)</f>
        <v>44319</v>
      </c>
    </row>
    <row r="335" spans="1:3" x14ac:dyDescent="0.2">
      <c r="A335" s="11">
        <v>44319.332905092589</v>
      </c>
      <c r="B335" s="6">
        <v>0.01</v>
      </c>
      <c r="C335" s="11">
        <f>WORKDAY(INT($A335),1,holidays_US!$A:$A)</f>
        <v>44320</v>
      </c>
    </row>
    <row r="336" spans="1:3" x14ac:dyDescent="0.2">
      <c r="A336" s="11">
        <v>44320.333333333336</v>
      </c>
      <c r="B336" s="6">
        <v>0.01</v>
      </c>
      <c r="C336" s="11">
        <f>WORKDAY(INT($A336),1,holidays_US!$A:$A)</f>
        <v>44321</v>
      </c>
    </row>
    <row r="337" spans="1:3" x14ac:dyDescent="0.2">
      <c r="A337" s="11">
        <v>44321.332870370374</v>
      </c>
      <c r="B337" s="6">
        <v>0.01</v>
      </c>
      <c r="C337" s="11">
        <f>WORKDAY(INT($A337),1,holidays_US!$A:$A)</f>
        <v>44322</v>
      </c>
    </row>
    <row r="338" spans="1:3" x14ac:dyDescent="0.2">
      <c r="A338" s="11">
        <v>44322.333310185182</v>
      </c>
      <c r="B338" s="6">
        <v>0.01</v>
      </c>
      <c r="C338" s="11">
        <f>WORKDAY(INT($A338),1,holidays_US!$A:$A)</f>
        <v>44323</v>
      </c>
    </row>
    <row r="339" spans="1:3" x14ac:dyDescent="0.2">
      <c r="A339" s="11">
        <v>44323.333182870374</v>
      </c>
      <c r="B339" s="6">
        <v>0.01</v>
      </c>
      <c r="C339" s="11">
        <f>WORKDAY(INT($A339),1,holidays_US!$A:$A)</f>
        <v>44326</v>
      </c>
    </row>
    <row r="340" spans="1:3" x14ac:dyDescent="0.2">
      <c r="A340" s="11">
        <v>44326.332685185182</v>
      </c>
      <c r="B340" s="6">
        <v>0.01</v>
      </c>
      <c r="C340" s="11">
        <f>WORKDAY(INT($A340),1,holidays_US!$A:$A)</f>
        <v>44327</v>
      </c>
    </row>
    <row r="341" spans="1:3" x14ac:dyDescent="0.2">
      <c r="A341" s="11">
        <v>44327.332685185182</v>
      </c>
      <c r="B341" s="6">
        <v>0.01</v>
      </c>
      <c r="C341" s="11">
        <f>WORKDAY(INT($A341),1,holidays_US!$A:$A)</f>
        <v>44328</v>
      </c>
    </row>
    <row r="342" spans="1:3" x14ac:dyDescent="0.2">
      <c r="A342" s="11">
        <v>44328.332719907405</v>
      </c>
      <c r="B342" s="6">
        <v>0.01</v>
      </c>
      <c r="C342" s="11">
        <f>WORKDAY(INT($A342),1,holidays_US!$A:$A)</f>
        <v>44329</v>
      </c>
    </row>
    <row r="343" spans="1:3" x14ac:dyDescent="0.2">
      <c r="A343" s="11">
        <v>44329.332685185182</v>
      </c>
      <c r="B343" s="6">
        <v>0.01</v>
      </c>
      <c r="C343" s="11">
        <f>WORKDAY(INT($A343),1,holidays_US!$A:$A)</f>
        <v>44330</v>
      </c>
    </row>
    <row r="344" spans="1:3" x14ac:dyDescent="0.2">
      <c r="A344" s="11">
        <v>44330.332824074074</v>
      </c>
      <c r="B344" s="6">
        <v>0.01</v>
      </c>
      <c r="C344" s="11">
        <f>WORKDAY(INT($A344),1,holidays_US!$A:$A)</f>
        <v>44333</v>
      </c>
    </row>
    <row r="345" spans="1:3" x14ac:dyDescent="0.2">
      <c r="A345" s="11">
        <v>44333.332731481481</v>
      </c>
      <c r="B345" s="6">
        <v>0.01</v>
      </c>
      <c r="C345" s="11">
        <f>WORKDAY(INT($A345),1,holidays_US!$A:$A)</f>
        <v>44334</v>
      </c>
    </row>
    <row r="346" spans="1:3" x14ac:dyDescent="0.2">
      <c r="A346" s="11">
        <v>44334.332800925928</v>
      </c>
      <c r="B346" s="6">
        <v>0.01</v>
      </c>
      <c r="C346" s="11">
        <f>WORKDAY(INT($A346),1,holidays_US!$A:$A)</f>
        <v>44335</v>
      </c>
    </row>
    <row r="347" spans="1:3" x14ac:dyDescent="0.2">
      <c r="A347" s="11">
        <v>44335.332743055558</v>
      </c>
      <c r="B347" s="6">
        <v>0.01</v>
      </c>
      <c r="C347" s="11">
        <f>WORKDAY(INT($A347),1,holidays_US!$A:$A)</f>
        <v>44336</v>
      </c>
    </row>
    <row r="348" spans="1:3" x14ac:dyDescent="0.2">
      <c r="A348" s="11">
        <v>44336.33289351852</v>
      </c>
      <c r="B348" s="6">
        <v>0.01</v>
      </c>
      <c r="C348" s="11">
        <f>WORKDAY(INT($A348),1,holidays_US!$A:$A)</f>
        <v>44337</v>
      </c>
    </row>
    <row r="349" spans="1:3" x14ac:dyDescent="0.2">
      <c r="A349" s="11">
        <v>44337.332766203705</v>
      </c>
      <c r="B349" s="6">
        <v>0.01</v>
      </c>
      <c r="C349" s="11">
        <f>WORKDAY(INT($A349),1,holidays_US!$A:$A)</f>
        <v>44340</v>
      </c>
    </row>
    <row r="350" spans="1:3" x14ac:dyDescent="0.2">
      <c r="A350" s="11">
        <v>44340.332696759258</v>
      </c>
      <c r="B350" s="6">
        <v>0.01</v>
      </c>
      <c r="C350" s="11">
        <f>WORKDAY(INT($A350),1,holidays_US!$A:$A)</f>
        <v>44341</v>
      </c>
    </row>
    <row r="351" spans="1:3" x14ac:dyDescent="0.2">
      <c r="A351" s="11">
        <v>44341.332835648151</v>
      </c>
      <c r="B351" s="6">
        <v>0.01</v>
      </c>
      <c r="C351" s="11">
        <f>WORKDAY(INT($A351),1,holidays_US!$A:$A)</f>
        <v>44342</v>
      </c>
    </row>
    <row r="352" spans="1:3" x14ac:dyDescent="0.2">
      <c r="A352" s="11">
        <v>44342.33289351852</v>
      </c>
      <c r="B352" s="6">
        <v>0.01</v>
      </c>
      <c r="C352" s="11">
        <f>WORKDAY(INT($A352),1,holidays_US!$A:$A)</f>
        <v>44343</v>
      </c>
    </row>
    <row r="353" spans="1:3" x14ac:dyDescent="0.2">
      <c r="A353" s="11">
        <v>44343.33284722222</v>
      </c>
      <c r="B353" s="6">
        <v>0.01</v>
      </c>
      <c r="C353" s="11">
        <f>WORKDAY(INT($A353),1,holidays_US!$A:$A)</f>
        <v>44344</v>
      </c>
    </row>
    <row r="354" spans="1:3" x14ac:dyDescent="0.2">
      <c r="A354" s="11">
        <v>44344.332870370374</v>
      </c>
      <c r="B354" s="6">
        <v>0.01</v>
      </c>
      <c r="C354" s="11">
        <f>WORKDAY(INT($A354),1,holidays_US!$A:$A)</f>
        <v>44348</v>
      </c>
    </row>
    <row r="355" spans="1:3" x14ac:dyDescent="0.2">
      <c r="A355" s="11">
        <v>44348.333032407405</v>
      </c>
      <c r="B355" s="6">
        <v>0.01</v>
      </c>
      <c r="C355" s="11">
        <f>WORKDAY(INT($A355),1,holidays_US!$A:$A)</f>
        <v>44349</v>
      </c>
    </row>
    <row r="356" spans="1:3" x14ac:dyDescent="0.2">
      <c r="A356" s="11">
        <v>44349.332835648151</v>
      </c>
      <c r="B356" s="6">
        <v>0.01</v>
      </c>
      <c r="C356" s="11">
        <f>WORKDAY(INT($A356),1,holidays_US!$A:$A)</f>
        <v>44350</v>
      </c>
    </row>
    <row r="357" spans="1:3" x14ac:dyDescent="0.2">
      <c r="A357" s="11">
        <v>44350.332870370374</v>
      </c>
      <c r="B357" s="6">
        <v>0.01</v>
      </c>
      <c r="C357" s="11">
        <f>WORKDAY(INT($A357),1,holidays_US!$A:$A)</f>
        <v>44351</v>
      </c>
    </row>
    <row r="358" spans="1:3" x14ac:dyDescent="0.2">
      <c r="A358" s="11">
        <v>44351.332696759258</v>
      </c>
      <c r="B358" s="6">
        <v>0.01</v>
      </c>
      <c r="C358" s="11">
        <f>WORKDAY(INT($A358),1,holidays_US!$A:$A)</f>
        <v>44354</v>
      </c>
    </row>
    <row r="359" spans="1:3" x14ac:dyDescent="0.2">
      <c r="A359" s="11">
        <v>44354.332731481481</v>
      </c>
      <c r="B359" s="6">
        <v>0.01</v>
      </c>
      <c r="C359" s="11">
        <f>WORKDAY(INT($A359),1,holidays_US!$A:$A)</f>
        <v>44355</v>
      </c>
    </row>
    <row r="360" spans="1:3" x14ac:dyDescent="0.2">
      <c r="A360" s="11">
        <v>44355.332789351851</v>
      </c>
      <c r="B360" s="6">
        <v>0.01</v>
      </c>
      <c r="C360" s="11">
        <f>WORKDAY(INT($A360),1,holidays_US!$A:$A)</f>
        <v>44356</v>
      </c>
    </row>
    <row r="361" spans="1:3" x14ac:dyDescent="0.2">
      <c r="A361" s="11">
        <v>44356.332766203705</v>
      </c>
      <c r="B361" s="6">
        <v>0.01</v>
      </c>
      <c r="C361" s="11">
        <f>WORKDAY(INT($A361),1,holidays_US!$A:$A)</f>
        <v>44357</v>
      </c>
    </row>
    <row r="362" spans="1:3" x14ac:dyDescent="0.2">
      <c r="A362" s="11">
        <v>44357.332824074074</v>
      </c>
      <c r="B362" s="6">
        <v>0.01</v>
      </c>
      <c r="C362" s="11">
        <f>WORKDAY(INT($A362),1,holidays_US!$A:$A)</f>
        <v>44358</v>
      </c>
    </row>
    <row r="363" spans="1:3" x14ac:dyDescent="0.2">
      <c r="A363" s="11">
        <v>44358.332662037035</v>
      </c>
      <c r="B363" s="6">
        <v>0.01</v>
      </c>
      <c r="C363" s="11">
        <f>WORKDAY(INT($A363),1,holidays_US!$A:$A)</f>
        <v>44361</v>
      </c>
    </row>
    <row r="364" spans="1:3" x14ac:dyDescent="0.2">
      <c r="A364" s="11">
        <v>44361.332673611112</v>
      </c>
      <c r="B364" s="6">
        <v>0.01</v>
      </c>
      <c r="C364" s="11">
        <f>WORKDAY(INT($A364),1,holidays_US!$A:$A)</f>
        <v>44362</v>
      </c>
    </row>
    <row r="365" spans="1:3" x14ac:dyDescent="0.2">
      <c r="A365" s="11">
        <v>44362.332673611112</v>
      </c>
      <c r="B365" s="6">
        <v>0.01</v>
      </c>
      <c r="C365" s="11">
        <f>WORKDAY(INT($A365),1,holidays_US!$A:$A)</f>
        <v>44363</v>
      </c>
    </row>
    <row r="366" spans="1:3" x14ac:dyDescent="0.2">
      <c r="A366" s="11">
        <v>44363.332881944443</v>
      </c>
      <c r="B366" s="6">
        <v>0.01</v>
      </c>
      <c r="C366" s="11">
        <f>WORKDAY(INT($A366),1,holidays_US!$A:$A)</f>
        <v>44364</v>
      </c>
    </row>
    <row r="367" spans="1:3" x14ac:dyDescent="0.2">
      <c r="A367" s="11">
        <v>44364.332696759258</v>
      </c>
      <c r="B367" s="6">
        <v>0.05</v>
      </c>
      <c r="C367" s="11">
        <f>WORKDAY(INT($A367),1,holidays_US!$A:$A)</f>
        <v>44365</v>
      </c>
    </row>
    <row r="368" spans="1:3" x14ac:dyDescent="0.2">
      <c r="A368" s="11">
        <v>44365.332696759258</v>
      </c>
      <c r="B368" s="6">
        <v>0.05</v>
      </c>
      <c r="C368" s="11">
        <f>WORKDAY(INT($A368),1,holidays_US!$A:$A)</f>
        <v>44368</v>
      </c>
    </row>
    <row r="369" spans="1:3" x14ac:dyDescent="0.2">
      <c r="A369" s="11">
        <v>44368.332789351851</v>
      </c>
      <c r="B369" s="6">
        <v>0.05</v>
      </c>
      <c r="C369" s="11">
        <f>WORKDAY(INT($A369),1,holidays_US!$A:$A)</f>
        <v>44369</v>
      </c>
    </row>
    <row r="370" spans="1:3" x14ac:dyDescent="0.2">
      <c r="A370" s="11">
        <v>44369.332696759258</v>
      </c>
      <c r="B370" s="6">
        <v>0.05</v>
      </c>
      <c r="C370" s="11">
        <f>WORKDAY(INT($A370),1,holidays_US!$A:$A)</f>
        <v>44370</v>
      </c>
    </row>
    <row r="371" spans="1:3" x14ac:dyDescent="0.2">
      <c r="A371" s="11">
        <v>44370.332812499997</v>
      </c>
      <c r="B371" s="6">
        <v>0.05</v>
      </c>
      <c r="C371" s="11">
        <f>WORKDAY(INT($A371),1,holidays_US!$A:$A)</f>
        <v>44371</v>
      </c>
    </row>
    <row r="372" spans="1:3" x14ac:dyDescent="0.2">
      <c r="A372" s="11">
        <v>44371.332708333335</v>
      </c>
      <c r="B372" s="6">
        <v>0.05</v>
      </c>
      <c r="C372" s="11">
        <f>WORKDAY(INT($A372),1,holidays_US!$A:$A)</f>
        <v>44372</v>
      </c>
    </row>
    <row r="373" spans="1:3" x14ac:dyDescent="0.2">
      <c r="A373" s="11">
        <v>44372.332777777781</v>
      </c>
      <c r="B373" s="6">
        <v>0.05</v>
      </c>
      <c r="C373" s="11">
        <f>WORKDAY(INT($A373),1,holidays_US!$A:$A)</f>
        <v>44375</v>
      </c>
    </row>
    <row r="374" spans="1:3" x14ac:dyDescent="0.2">
      <c r="A374" s="11">
        <v>44375.332743055558</v>
      </c>
      <c r="B374" s="6">
        <v>0.05</v>
      </c>
      <c r="C374" s="11">
        <f>WORKDAY(INT($A374),1,holidays_US!$A:$A)</f>
        <v>44376</v>
      </c>
    </row>
    <row r="375" spans="1:3" x14ac:dyDescent="0.2">
      <c r="A375" s="11">
        <v>44376.332731481481</v>
      </c>
      <c r="B375" s="6">
        <v>0.05</v>
      </c>
      <c r="C375" s="11">
        <f>WORKDAY(INT($A375),1,holidays_US!$A:$A)</f>
        <v>44377</v>
      </c>
    </row>
    <row r="376" spans="1:3" x14ac:dyDescent="0.2">
      <c r="A376" s="11">
        <v>44377.332916666666</v>
      </c>
      <c r="B376" s="6">
        <v>0.05</v>
      </c>
      <c r="C376" s="11">
        <f>WORKDAY(INT($A376),1,holidays_US!$A:$A)</f>
        <v>44378</v>
      </c>
    </row>
    <row r="377" spans="1:3" x14ac:dyDescent="0.2">
      <c r="A377" s="11">
        <v>44378.332905092589</v>
      </c>
      <c r="B377" s="6">
        <v>0.05</v>
      </c>
      <c r="C377" s="11">
        <f>WORKDAY(INT($A377),1,holidays_US!$A:$A)</f>
        <v>44379</v>
      </c>
    </row>
    <row r="378" spans="1:3" x14ac:dyDescent="0.2">
      <c r="A378" s="11">
        <v>44379.332789351851</v>
      </c>
      <c r="B378" s="6">
        <v>0.05</v>
      </c>
      <c r="C378" s="11">
        <f>WORKDAY(INT($A378),1,holidays_US!$A:$A)</f>
        <v>44383</v>
      </c>
    </row>
    <row r="379" spans="1:3" x14ac:dyDescent="0.2">
      <c r="A379" s="11">
        <v>44383.332766203705</v>
      </c>
      <c r="B379" s="6">
        <v>0.05</v>
      </c>
      <c r="C379" s="11">
        <f>WORKDAY(INT($A379),1,holidays_US!$A:$A)</f>
        <v>44384</v>
      </c>
    </row>
    <row r="380" spans="1:3" x14ac:dyDescent="0.2">
      <c r="A380" s="11">
        <v>44384.332731481481</v>
      </c>
      <c r="B380" s="6">
        <v>0.05</v>
      </c>
      <c r="C380" s="11">
        <f>WORKDAY(INT($A380),1,holidays_US!$A:$A)</f>
        <v>44385</v>
      </c>
    </row>
    <row r="381" spans="1:3" x14ac:dyDescent="0.2">
      <c r="A381" s="11">
        <v>44385.332766203705</v>
      </c>
      <c r="B381" s="6">
        <v>0.05</v>
      </c>
      <c r="C381" s="11">
        <f>WORKDAY(INT($A381),1,holidays_US!$A:$A)</f>
        <v>44386</v>
      </c>
    </row>
    <row r="382" spans="1:3" x14ac:dyDescent="0.2">
      <c r="A382" s="11">
        <v>44386.332777777781</v>
      </c>
      <c r="B382" s="6">
        <v>0.05</v>
      </c>
      <c r="C382" s="11">
        <f>WORKDAY(INT($A382),1,holidays_US!$A:$A)</f>
        <v>44389</v>
      </c>
    </row>
    <row r="383" spans="1:3" x14ac:dyDescent="0.2">
      <c r="A383" s="11">
        <v>44389.332743055558</v>
      </c>
      <c r="B383" s="6">
        <v>0.05</v>
      </c>
      <c r="C383" s="11">
        <f>WORKDAY(INT($A383),1,holidays_US!$A:$A)</f>
        <v>44390</v>
      </c>
    </row>
    <row r="384" spans="1:3" x14ac:dyDescent="0.2">
      <c r="A384" s="11">
        <v>44390.332743055558</v>
      </c>
      <c r="B384" s="6">
        <v>0.05</v>
      </c>
      <c r="C384" s="11">
        <f>WORKDAY(INT($A384),1,holidays_US!$A:$A)</f>
        <v>44391</v>
      </c>
    </row>
    <row r="385" spans="1:3" x14ac:dyDescent="0.2">
      <c r="A385" s="11">
        <v>44391.332881944443</v>
      </c>
      <c r="B385" s="6">
        <v>0.05</v>
      </c>
      <c r="C385" s="11">
        <f>WORKDAY(INT($A385),1,holidays_US!$A:$A)</f>
        <v>44392</v>
      </c>
    </row>
    <row r="386" spans="1:3" x14ac:dyDescent="0.2">
      <c r="A386" s="11">
        <v>44392.33289351852</v>
      </c>
      <c r="B386" s="6">
        <v>0.05</v>
      </c>
      <c r="C386" s="11">
        <f>WORKDAY(INT($A386),1,holidays_US!$A:$A)</f>
        <v>44393</v>
      </c>
    </row>
    <row r="387" spans="1:3" x14ac:dyDescent="0.2">
      <c r="A387" s="11">
        <v>44393.332719907405</v>
      </c>
      <c r="B387" s="6">
        <v>0.05</v>
      </c>
      <c r="C387" s="11">
        <f>WORKDAY(INT($A387),1,holidays_US!$A:$A)</f>
        <v>44396</v>
      </c>
    </row>
    <row r="388" spans="1:3" x14ac:dyDescent="0.2">
      <c r="A388" s="11">
        <v>44396.332708333335</v>
      </c>
      <c r="B388" s="6">
        <v>0.05</v>
      </c>
      <c r="C388" s="11">
        <f>WORKDAY(INT($A388),1,holidays_US!$A:$A)</f>
        <v>44397</v>
      </c>
    </row>
    <row r="389" spans="1:3" x14ac:dyDescent="0.2">
      <c r="A389" s="11">
        <v>44397.332685185182</v>
      </c>
      <c r="B389" s="6">
        <v>0.05</v>
      </c>
      <c r="C389" s="11">
        <f>WORKDAY(INT($A389),1,holidays_US!$A:$A)</f>
        <v>44398</v>
      </c>
    </row>
    <row r="390" spans="1:3" x14ac:dyDescent="0.2">
      <c r="A390" s="11">
        <v>44398.332673611112</v>
      </c>
      <c r="B390" s="6">
        <v>0.05</v>
      </c>
      <c r="C390" s="11">
        <f>WORKDAY(INT($A390),1,holidays_US!$A:$A)</f>
        <v>44399</v>
      </c>
    </row>
    <row r="391" spans="1:3" x14ac:dyDescent="0.2">
      <c r="A391" s="11">
        <v>44399.332731481481</v>
      </c>
      <c r="B391" s="6">
        <v>0.05</v>
      </c>
      <c r="C391" s="11">
        <f>WORKDAY(INT($A391),1,holidays_US!$A:$A)</f>
        <v>44400</v>
      </c>
    </row>
    <row r="392" spans="1:3" x14ac:dyDescent="0.2">
      <c r="A392" s="11">
        <v>44400.332743055558</v>
      </c>
      <c r="B392" s="6">
        <v>0.05</v>
      </c>
      <c r="C392" s="11">
        <f>WORKDAY(INT($A392),1,holidays_US!$A:$A)</f>
        <v>44403</v>
      </c>
    </row>
    <row r="393" spans="1:3" x14ac:dyDescent="0.2">
      <c r="A393" s="11">
        <v>44403.332731481481</v>
      </c>
      <c r="B393" s="6">
        <v>0.05</v>
      </c>
      <c r="C393" s="11">
        <f>WORKDAY(INT($A393),1,holidays_US!$A:$A)</f>
        <v>44404</v>
      </c>
    </row>
    <row r="394" spans="1:3" x14ac:dyDescent="0.2">
      <c r="A394" s="11">
        <v>44404.332731481481</v>
      </c>
      <c r="B394" s="6">
        <v>0.05</v>
      </c>
      <c r="C394" s="11">
        <f>WORKDAY(INT($A394),1,holidays_US!$A:$A)</f>
        <v>44405</v>
      </c>
    </row>
    <row r="395" spans="1:3" x14ac:dyDescent="0.2">
      <c r="A395" s="11">
        <v>44405.332708333335</v>
      </c>
      <c r="B395" s="6">
        <v>0.05</v>
      </c>
      <c r="C395" s="11">
        <f>WORKDAY(INT($A395),1,holidays_US!$A:$A)</f>
        <v>44406</v>
      </c>
    </row>
    <row r="396" spans="1:3" x14ac:dyDescent="0.2">
      <c r="A396" s="11">
        <v>44406.332685185182</v>
      </c>
      <c r="B396" s="6">
        <v>0.05</v>
      </c>
      <c r="C396" s="11">
        <f>WORKDAY(INT($A396),1,holidays_US!$A:$A)</f>
        <v>44407</v>
      </c>
    </row>
    <row r="397" spans="1:3" x14ac:dyDescent="0.2">
      <c r="A397" s="11">
        <v>44407.332812499997</v>
      </c>
      <c r="B397" s="6">
        <v>0.05</v>
      </c>
      <c r="C397" s="11">
        <f>WORKDAY(INT($A397),1,holidays_US!$A:$A)</f>
        <v>44410</v>
      </c>
    </row>
    <row r="398" spans="1:3" x14ac:dyDescent="0.2">
      <c r="A398" s="11">
        <v>44410.332812499997</v>
      </c>
      <c r="B398" s="6">
        <v>0.05</v>
      </c>
      <c r="C398" s="11">
        <f>WORKDAY(INT($A398),1,holidays_US!$A:$A)</f>
        <v>44411</v>
      </c>
    </row>
    <row r="399" spans="1:3" x14ac:dyDescent="0.2">
      <c r="A399" s="11">
        <v>44411.332789351851</v>
      </c>
      <c r="B399" s="6">
        <v>0.05</v>
      </c>
      <c r="C399" s="11">
        <f>WORKDAY(INT($A399),1,holidays_US!$A:$A)</f>
        <v>44412</v>
      </c>
    </row>
    <row r="400" spans="1:3" x14ac:dyDescent="0.2">
      <c r="A400" s="11">
        <v>44412.332754629628</v>
      </c>
      <c r="B400" s="6">
        <v>0.05</v>
      </c>
      <c r="C400" s="11">
        <f>WORKDAY(INT($A400),1,holidays_US!$A:$A)</f>
        <v>44413</v>
      </c>
    </row>
    <row r="401" spans="1:3" x14ac:dyDescent="0.2">
      <c r="A401" s="11">
        <v>44413.332789351851</v>
      </c>
      <c r="B401" s="6">
        <v>0.05</v>
      </c>
      <c r="C401" s="11">
        <f>WORKDAY(INT($A401),1,holidays_US!$A:$A)</f>
        <v>44414</v>
      </c>
    </row>
    <row r="402" spans="1:3" x14ac:dyDescent="0.2">
      <c r="A402" s="11">
        <v>44414.332800925928</v>
      </c>
      <c r="B402" s="6">
        <v>0.05</v>
      </c>
      <c r="C402" s="11">
        <f>WORKDAY(INT($A402),1,holidays_US!$A:$A)</f>
        <v>44417</v>
      </c>
    </row>
    <row r="403" spans="1:3" x14ac:dyDescent="0.2">
      <c r="A403" s="11">
        <v>44417.332812499997</v>
      </c>
      <c r="B403" s="6">
        <v>0.05</v>
      </c>
      <c r="C403" s="11">
        <f>WORKDAY(INT($A403),1,holidays_US!$A:$A)</f>
        <v>44418</v>
      </c>
    </row>
    <row r="404" spans="1:3" x14ac:dyDescent="0.2">
      <c r="A404" s="11">
        <v>44418.33284722222</v>
      </c>
      <c r="B404" s="6">
        <v>0.05</v>
      </c>
      <c r="C404" s="11">
        <f>WORKDAY(INT($A404),1,holidays_US!$A:$A)</f>
        <v>44419</v>
      </c>
    </row>
    <row r="405" spans="1:3" x14ac:dyDescent="0.2">
      <c r="A405" s="11">
        <v>44419.332743055558</v>
      </c>
      <c r="B405" s="6">
        <v>0.05</v>
      </c>
      <c r="C405" s="11">
        <f>WORKDAY(INT($A405),1,holidays_US!$A:$A)</f>
        <v>44420</v>
      </c>
    </row>
    <row r="406" spans="1:3" x14ac:dyDescent="0.2">
      <c r="A406" s="11">
        <v>44420.332812499997</v>
      </c>
      <c r="B406" s="6">
        <v>0.05</v>
      </c>
      <c r="C406" s="11">
        <f>WORKDAY(INT($A406),1,holidays_US!$A:$A)</f>
        <v>44421</v>
      </c>
    </row>
    <row r="407" spans="1:3" x14ac:dyDescent="0.2">
      <c r="A407" s="11">
        <v>44421.332708333335</v>
      </c>
      <c r="B407" s="6">
        <v>0.05</v>
      </c>
      <c r="C407" s="11">
        <f>WORKDAY(INT($A407),1,holidays_US!$A:$A)</f>
        <v>44424</v>
      </c>
    </row>
    <row r="408" spans="1:3" x14ac:dyDescent="0.2">
      <c r="A408" s="11">
        <v>44424.332708333335</v>
      </c>
      <c r="B408" s="6">
        <v>0.05</v>
      </c>
      <c r="C408" s="11">
        <f>WORKDAY(INT($A408),1,holidays_US!$A:$A)</f>
        <v>44425</v>
      </c>
    </row>
    <row r="409" spans="1:3" x14ac:dyDescent="0.2">
      <c r="A409" s="11">
        <v>44425.332719907405</v>
      </c>
      <c r="B409" s="6">
        <v>0.05</v>
      </c>
      <c r="C409" s="11">
        <f>WORKDAY(INT($A409),1,holidays_US!$A:$A)</f>
        <v>44426</v>
      </c>
    </row>
    <row r="410" spans="1:3" x14ac:dyDescent="0.2">
      <c r="A410" s="11">
        <v>44426.332731481481</v>
      </c>
      <c r="B410" s="6">
        <v>0.05</v>
      </c>
      <c r="C410" s="11">
        <f>WORKDAY(INT($A410),1,holidays_US!$A:$A)</f>
        <v>44427</v>
      </c>
    </row>
    <row r="411" spans="1:3" x14ac:dyDescent="0.2">
      <c r="A411" s="11">
        <v>44427.332696759258</v>
      </c>
      <c r="B411" s="6">
        <v>0.05</v>
      </c>
      <c r="C411" s="11">
        <f>WORKDAY(INT($A411),1,holidays_US!$A:$A)</f>
        <v>44428</v>
      </c>
    </row>
    <row r="412" spans="1:3" x14ac:dyDescent="0.2">
      <c r="A412" s="11">
        <v>44428.332766203705</v>
      </c>
      <c r="B412" s="6">
        <v>0.05</v>
      </c>
      <c r="C412" s="11">
        <f>WORKDAY(INT($A412),1,holidays_US!$A:$A)</f>
        <v>44431</v>
      </c>
    </row>
    <row r="413" spans="1:3" x14ac:dyDescent="0.2">
      <c r="A413" s="11">
        <v>44431.332777777781</v>
      </c>
      <c r="B413" s="6">
        <v>0.05</v>
      </c>
      <c r="C413" s="11">
        <f>WORKDAY(INT($A413),1,holidays_US!$A:$A)</f>
        <v>44432</v>
      </c>
    </row>
    <row r="414" spans="1:3" x14ac:dyDescent="0.2">
      <c r="A414" s="11">
        <v>44432.332800925928</v>
      </c>
      <c r="B414" s="6">
        <v>0.05</v>
      </c>
      <c r="C414" s="11">
        <f>WORKDAY(INT($A414),1,holidays_US!$A:$A)</f>
        <v>44433</v>
      </c>
    </row>
    <row r="415" spans="1:3" x14ac:dyDescent="0.2">
      <c r="A415" s="11">
        <v>44433.332777777781</v>
      </c>
      <c r="B415" s="6">
        <v>0.05</v>
      </c>
      <c r="C415" s="11">
        <f>WORKDAY(INT($A415),1,holidays_US!$A:$A)</f>
        <v>44434</v>
      </c>
    </row>
    <row r="416" spans="1:3" x14ac:dyDescent="0.2">
      <c r="A416" s="11">
        <v>44434.33284722222</v>
      </c>
      <c r="B416" s="6">
        <v>0.05</v>
      </c>
      <c r="C416" s="11">
        <f>WORKDAY(INT($A416),1,holidays_US!$A:$A)</f>
        <v>44435</v>
      </c>
    </row>
    <row r="417" spans="1:3" x14ac:dyDescent="0.2">
      <c r="A417" s="11">
        <v>44435.332777777781</v>
      </c>
      <c r="B417" s="6">
        <v>0.05</v>
      </c>
      <c r="C417" s="11">
        <f>WORKDAY(INT($A417),1,holidays_US!$A:$A)</f>
        <v>44438</v>
      </c>
    </row>
    <row r="418" spans="1:3" x14ac:dyDescent="0.2">
      <c r="A418" s="11">
        <v>44438.332789351851</v>
      </c>
      <c r="B418" s="6">
        <v>0.05</v>
      </c>
      <c r="C418" s="11">
        <f>WORKDAY(INT($A418),1,holidays_US!$A:$A)</f>
        <v>44439</v>
      </c>
    </row>
    <row r="419" spans="1:3" x14ac:dyDescent="0.2">
      <c r="A419" s="11">
        <v>44439.332754629628</v>
      </c>
      <c r="B419" s="6">
        <v>0.05</v>
      </c>
      <c r="C419" s="11">
        <f>WORKDAY(INT($A419),1,holidays_US!$A:$A)</f>
        <v>44440</v>
      </c>
    </row>
    <row r="420" spans="1:3" x14ac:dyDescent="0.2">
      <c r="A420" s="11">
        <v>44440.332789351851</v>
      </c>
      <c r="B420" s="6">
        <v>0.05</v>
      </c>
      <c r="C420" s="11">
        <f>WORKDAY(INT($A420),1,holidays_US!$A:$A)</f>
        <v>44441</v>
      </c>
    </row>
    <row r="421" spans="1:3" x14ac:dyDescent="0.2">
      <c r="A421" s="11">
        <v>44441.332754629628</v>
      </c>
      <c r="B421" s="6">
        <v>0.05</v>
      </c>
      <c r="C421" s="11">
        <f>WORKDAY(INT($A421),1,holidays_US!$A:$A)</f>
        <v>44442</v>
      </c>
    </row>
    <row r="422" spans="1:3" x14ac:dyDescent="0.2">
      <c r="A422" s="11">
        <v>44442.332835648151</v>
      </c>
      <c r="B422" s="6">
        <v>0.05</v>
      </c>
      <c r="C422" s="11">
        <f>WORKDAY(INT($A422),1,holidays_US!$A:$A)</f>
        <v>44446</v>
      </c>
    </row>
    <row r="423" spans="1:3" x14ac:dyDescent="0.2">
      <c r="A423" s="11">
        <v>44446.333368055559</v>
      </c>
      <c r="B423" s="6">
        <v>0.05</v>
      </c>
      <c r="C423" s="11">
        <f>WORKDAY(INT($A423),1,holidays_US!$A:$A)</f>
        <v>44447</v>
      </c>
    </row>
    <row r="424" spans="1:3" x14ac:dyDescent="0.2">
      <c r="A424" s="11">
        <v>44447.332812499997</v>
      </c>
      <c r="B424" s="6">
        <v>0.05</v>
      </c>
      <c r="C424" s="11">
        <f>WORKDAY(INT($A424),1,holidays_US!$A:$A)</f>
        <v>44448</v>
      </c>
    </row>
    <row r="425" spans="1:3" x14ac:dyDescent="0.2">
      <c r="A425" s="11">
        <v>44448.332824074074</v>
      </c>
      <c r="B425" s="6">
        <v>0.05</v>
      </c>
      <c r="C425" s="11">
        <f>WORKDAY(INT($A425),1,holidays_US!$A:$A)</f>
        <v>44449</v>
      </c>
    </row>
    <row r="426" spans="1:3" x14ac:dyDescent="0.2">
      <c r="A426" s="11">
        <v>44449.332731481481</v>
      </c>
      <c r="B426" s="6">
        <v>0.05</v>
      </c>
      <c r="C426" s="11">
        <f>WORKDAY(INT($A426),1,holidays_US!$A:$A)</f>
        <v>44452</v>
      </c>
    </row>
    <row r="427" spans="1:3" x14ac:dyDescent="0.2">
      <c r="A427" s="11">
        <v>44452.332835648151</v>
      </c>
      <c r="B427" s="6">
        <v>0.05</v>
      </c>
      <c r="C427" s="11">
        <f>WORKDAY(INT($A427),1,holidays_US!$A:$A)</f>
        <v>44453</v>
      </c>
    </row>
    <row r="428" spans="1:3" x14ac:dyDescent="0.2">
      <c r="A428" s="11">
        <v>44453.332719907405</v>
      </c>
      <c r="B428" s="6">
        <v>0.05</v>
      </c>
      <c r="C428" s="11">
        <f>WORKDAY(INT($A428),1,holidays_US!$A:$A)</f>
        <v>44454</v>
      </c>
    </row>
    <row r="429" spans="1:3" x14ac:dyDescent="0.2">
      <c r="A429" s="11">
        <v>44454.332743055558</v>
      </c>
      <c r="B429" s="6">
        <v>0.05</v>
      </c>
      <c r="C429" s="11">
        <f>WORKDAY(INT($A429),1,holidays_US!$A:$A)</f>
        <v>44455</v>
      </c>
    </row>
    <row r="430" spans="1:3" x14ac:dyDescent="0.2">
      <c r="A430" s="11">
        <v>44455.332835648151</v>
      </c>
      <c r="B430" s="6">
        <v>0.05</v>
      </c>
      <c r="C430" s="11">
        <f>WORKDAY(INT($A430),1,holidays_US!$A:$A)</f>
        <v>44456</v>
      </c>
    </row>
    <row r="431" spans="1:3" x14ac:dyDescent="0.2">
      <c r="A431" s="11">
        <v>44456.332708333335</v>
      </c>
      <c r="B431" s="6">
        <v>0.05</v>
      </c>
      <c r="C431" s="11">
        <f>WORKDAY(INT($A431),1,holidays_US!$A:$A)</f>
        <v>44459</v>
      </c>
    </row>
    <row r="432" spans="1:3" x14ac:dyDescent="0.2">
      <c r="A432" s="11">
        <v>44459.332743055558</v>
      </c>
      <c r="B432" s="6">
        <v>0.05</v>
      </c>
      <c r="C432" s="11">
        <f>WORKDAY(INT($A432),1,holidays_US!$A:$A)</f>
        <v>44460</v>
      </c>
    </row>
    <row r="433" spans="1:3" x14ac:dyDescent="0.2">
      <c r="A433" s="11">
        <v>44460.332696759258</v>
      </c>
      <c r="B433" s="6">
        <v>0.05</v>
      </c>
      <c r="C433" s="11">
        <f>WORKDAY(INT($A433),1,holidays_US!$A:$A)</f>
        <v>44461</v>
      </c>
    </row>
    <row r="434" spans="1:3" x14ac:dyDescent="0.2">
      <c r="A434" s="11">
        <v>44461.332719907405</v>
      </c>
      <c r="B434" s="6">
        <v>0.05</v>
      </c>
      <c r="C434" s="11">
        <f>WORKDAY(INT($A434),1,holidays_US!$A:$A)</f>
        <v>44462</v>
      </c>
    </row>
    <row r="435" spans="1:3" x14ac:dyDescent="0.2">
      <c r="A435" s="11">
        <v>44462.332696759258</v>
      </c>
      <c r="B435" s="6">
        <v>0.05</v>
      </c>
      <c r="C435" s="11">
        <f>WORKDAY(INT($A435),1,holidays_US!$A:$A)</f>
        <v>44463</v>
      </c>
    </row>
    <row r="436" spans="1:3" x14ac:dyDescent="0.2">
      <c r="A436" s="11">
        <v>44463.332789351851</v>
      </c>
      <c r="B436" s="6">
        <v>0.05</v>
      </c>
      <c r="C436" s="11">
        <f>WORKDAY(INT($A436),1,holidays_US!$A:$A)</f>
        <v>44466</v>
      </c>
    </row>
    <row r="437" spans="1:3" x14ac:dyDescent="0.2">
      <c r="A437" s="11">
        <v>44466.332766203705</v>
      </c>
      <c r="B437" s="6">
        <v>0.05</v>
      </c>
      <c r="C437" s="11">
        <f>WORKDAY(INT($A437),1,holidays_US!$A:$A)</f>
        <v>44467</v>
      </c>
    </row>
    <row r="438" spans="1:3" x14ac:dyDescent="0.2">
      <c r="A438" s="11">
        <v>44467.332754629628</v>
      </c>
      <c r="B438" s="6">
        <v>0.05</v>
      </c>
      <c r="C438" s="11">
        <f>WORKDAY(INT($A438),1,holidays_US!$A:$A)</f>
        <v>44468</v>
      </c>
    </row>
    <row r="439" spans="1:3" x14ac:dyDescent="0.2">
      <c r="A439" s="11">
        <v>44468.332731481481</v>
      </c>
      <c r="B439" s="6">
        <v>0.05</v>
      </c>
      <c r="C439" s="11">
        <f>WORKDAY(INT($A439),1,holidays_US!$A:$A)</f>
        <v>44469</v>
      </c>
    </row>
    <row r="440" spans="1:3" x14ac:dyDescent="0.2">
      <c r="A440" s="11">
        <v>44469.332754629628</v>
      </c>
      <c r="B440" s="6">
        <v>0.05</v>
      </c>
      <c r="C440" s="11">
        <f>WORKDAY(INT($A440),1,holidays_US!$A:$A)</f>
        <v>44470</v>
      </c>
    </row>
    <row r="441" spans="1:3" x14ac:dyDescent="0.2">
      <c r="A441" s="11">
        <v>44470.332696759258</v>
      </c>
      <c r="B441" s="6">
        <v>0.05</v>
      </c>
      <c r="C441" s="11">
        <f>WORKDAY(INT($A441),1,holidays_US!$A:$A)</f>
        <v>44473</v>
      </c>
    </row>
    <row r="442" spans="1:3" x14ac:dyDescent="0.2">
      <c r="A442" s="11">
        <v>44473.332743055558</v>
      </c>
      <c r="B442" s="6">
        <v>0.05</v>
      </c>
      <c r="C442" s="11">
        <f>WORKDAY(INT($A442),1,holidays_US!$A:$A)</f>
        <v>44474</v>
      </c>
    </row>
    <row r="443" spans="1:3" x14ac:dyDescent="0.2">
      <c r="A443" s="11">
        <v>44474.332719907405</v>
      </c>
      <c r="B443" s="6">
        <v>0.05</v>
      </c>
      <c r="C443" s="11">
        <f>WORKDAY(INT($A443),1,holidays_US!$A:$A)</f>
        <v>44475</v>
      </c>
    </row>
    <row r="444" spans="1:3" x14ac:dyDescent="0.2">
      <c r="A444" s="11">
        <v>44475.332743055558</v>
      </c>
      <c r="B444" s="6">
        <v>0.05</v>
      </c>
      <c r="C444" s="11">
        <f>WORKDAY(INT($A444),1,holidays_US!$A:$A)</f>
        <v>44476</v>
      </c>
    </row>
    <row r="445" spans="1:3" x14ac:dyDescent="0.2">
      <c r="A445" s="11">
        <v>44476.332696759258</v>
      </c>
      <c r="B445" s="6">
        <v>0.05</v>
      </c>
      <c r="C445" s="11">
        <f>WORKDAY(INT($A445),1,holidays_US!$A:$A)</f>
        <v>44477</v>
      </c>
    </row>
    <row r="446" spans="1:3" x14ac:dyDescent="0.2">
      <c r="A446" s="11">
        <v>44477.332754629628</v>
      </c>
      <c r="B446" s="6">
        <v>0.05</v>
      </c>
      <c r="C446" s="11">
        <f>WORKDAY(INT($A446),1,holidays_US!$A:$A)</f>
        <v>44481</v>
      </c>
    </row>
    <row r="447" spans="1:3" x14ac:dyDescent="0.2">
      <c r="A447" s="11">
        <v>44481.332719907405</v>
      </c>
      <c r="B447" s="6">
        <v>0.05</v>
      </c>
      <c r="C447" s="11">
        <f>WORKDAY(INT($A447),1,holidays_US!$A:$A)</f>
        <v>44482</v>
      </c>
    </row>
    <row r="448" spans="1:3" x14ac:dyDescent="0.2">
      <c r="A448" s="11">
        <v>44482.332754629628</v>
      </c>
      <c r="B448" s="6">
        <v>0.05</v>
      </c>
      <c r="C448" s="11">
        <f>WORKDAY(INT($A448),1,holidays_US!$A:$A)</f>
        <v>44483</v>
      </c>
    </row>
    <row r="449" spans="1:3" x14ac:dyDescent="0.2">
      <c r="A449" s="11">
        <v>44483.332789351851</v>
      </c>
      <c r="B449" s="6">
        <v>0.05</v>
      </c>
      <c r="C449" s="11">
        <f>WORKDAY(INT($A449),1,holidays_US!$A:$A)</f>
        <v>44484</v>
      </c>
    </row>
    <row r="450" spans="1:3" x14ac:dyDescent="0.2">
      <c r="A450" s="11">
        <v>44484.332881944443</v>
      </c>
      <c r="B450" s="6">
        <v>0.05</v>
      </c>
      <c r="C450" s="11">
        <f>WORKDAY(INT($A450),1,holidays_US!$A:$A)</f>
        <v>44487</v>
      </c>
    </row>
    <row r="451" spans="1:3" x14ac:dyDescent="0.2">
      <c r="A451" s="11">
        <v>44487.33284722222</v>
      </c>
      <c r="B451" s="6">
        <v>0.05</v>
      </c>
      <c r="C451" s="11">
        <f>WORKDAY(INT($A451),1,holidays_US!$A:$A)</f>
        <v>44488</v>
      </c>
    </row>
    <row r="452" spans="1:3" x14ac:dyDescent="0.2">
      <c r="A452" s="11">
        <v>44488.332789351851</v>
      </c>
      <c r="B452" s="6">
        <v>0.03</v>
      </c>
      <c r="C452" s="11">
        <f>WORKDAY(INT($A452),1,holidays_US!$A:$A)</f>
        <v>44489</v>
      </c>
    </row>
    <row r="453" spans="1:3" x14ac:dyDescent="0.2">
      <c r="A453" s="11">
        <v>44489.332789351851</v>
      </c>
      <c r="B453" s="6">
        <v>0.03</v>
      </c>
      <c r="C453" s="11">
        <f>WORKDAY(INT($A453),1,holidays_US!$A:$A)</f>
        <v>44490</v>
      </c>
    </row>
    <row r="454" spans="1:3" x14ac:dyDescent="0.2">
      <c r="A454" s="11">
        <v>44490.332766203705</v>
      </c>
      <c r="B454" s="6">
        <v>0.03</v>
      </c>
      <c r="C454" s="11">
        <f>WORKDAY(INT($A454),1,holidays_US!$A:$A)</f>
        <v>44491</v>
      </c>
    </row>
    <row r="455" spans="1:3" x14ac:dyDescent="0.2">
      <c r="A455" s="11">
        <v>44491.332928240743</v>
      </c>
      <c r="B455" s="6">
        <v>0.05</v>
      </c>
      <c r="C455" s="11">
        <f>WORKDAY(INT($A455),1,holidays_US!$A:$A)</f>
        <v>44494</v>
      </c>
    </row>
    <row r="456" spans="1:3" x14ac:dyDescent="0.2">
      <c r="A456" s="11">
        <v>44494.332928240743</v>
      </c>
      <c r="B456" s="6">
        <v>0.04</v>
      </c>
      <c r="C456" s="11">
        <f>WORKDAY(INT($A456),1,holidays_US!$A:$A)</f>
        <v>44495</v>
      </c>
    </row>
    <row r="457" spans="1:3" x14ac:dyDescent="0.2">
      <c r="A457" s="11">
        <v>44495.332939814813</v>
      </c>
      <c r="B457" s="6">
        <v>0.05</v>
      </c>
      <c r="C457" s="11">
        <f>WORKDAY(INT($A457),1,holidays_US!$A:$A)</f>
        <v>44496</v>
      </c>
    </row>
    <row r="458" spans="1:3" x14ac:dyDescent="0.2">
      <c r="A458" s="11">
        <v>44496.332870370374</v>
      </c>
      <c r="B458" s="6">
        <v>0.05</v>
      </c>
      <c r="C458" s="11">
        <f>WORKDAY(INT($A458),1,holidays_US!$A:$A)</f>
        <v>44497</v>
      </c>
    </row>
    <row r="459" spans="1:3" x14ac:dyDescent="0.2">
      <c r="A459" s="11">
        <v>44497.332986111112</v>
      </c>
      <c r="B459" s="6">
        <v>0.05</v>
      </c>
      <c r="C459" s="11">
        <f>WORKDAY(INT($A459),1,holidays_US!$A:$A)</f>
        <v>44498</v>
      </c>
    </row>
    <row r="460" spans="1:3" x14ac:dyDescent="0.2">
      <c r="A460" s="11">
        <v>44498.332824074074</v>
      </c>
      <c r="B460" s="6">
        <v>0.05</v>
      </c>
      <c r="C460" s="11">
        <f>WORKDAY(INT($A460),1,holidays_US!$A:$A)</f>
        <v>44501</v>
      </c>
    </row>
    <row r="461" spans="1:3" x14ac:dyDescent="0.2">
      <c r="A461" s="11">
        <v>44501.332858796297</v>
      </c>
      <c r="B461" s="6">
        <v>0.05</v>
      </c>
      <c r="C461" s="11">
        <f>WORKDAY(INT($A461),1,holidays_US!$A:$A)</f>
        <v>44502</v>
      </c>
    </row>
    <row r="462" spans="1:3" x14ac:dyDescent="0.2">
      <c r="A462" s="11">
        <v>44502.33284722222</v>
      </c>
      <c r="B462" s="6">
        <v>0.05</v>
      </c>
      <c r="C462" s="11">
        <f>WORKDAY(INT($A462),1,holidays_US!$A:$A)</f>
        <v>44503</v>
      </c>
    </row>
    <row r="463" spans="1:3" x14ac:dyDescent="0.2">
      <c r="A463" s="11">
        <v>44503.332858796297</v>
      </c>
      <c r="B463" s="6">
        <v>0.05</v>
      </c>
      <c r="C463" s="11">
        <f>WORKDAY(INT($A463),1,holidays_US!$A:$A)</f>
        <v>44504</v>
      </c>
    </row>
    <row r="464" spans="1:3" x14ac:dyDescent="0.2">
      <c r="A464" s="11">
        <v>44504.332824074074</v>
      </c>
      <c r="B464" s="6">
        <v>0.05</v>
      </c>
      <c r="C464" s="11">
        <f>WORKDAY(INT($A464),1,holidays_US!$A:$A)</f>
        <v>44505</v>
      </c>
    </row>
    <row r="465" spans="1:3" x14ac:dyDescent="0.2">
      <c r="A465" s="11">
        <v>44505.374456018515</v>
      </c>
      <c r="B465" s="6">
        <v>0.05</v>
      </c>
      <c r="C465" s="11">
        <f>WORKDAY(INT($A465),1,holidays_US!$A:$A)</f>
        <v>44508</v>
      </c>
    </row>
    <row r="466" spans="1:3" x14ac:dyDescent="0.2">
      <c r="A466" s="11">
        <v>44508.332824074074</v>
      </c>
      <c r="B466" s="6">
        <v>0.05</v>
      </c>
      <c r="C466" s="11">
        <f>WORKDAY(INT($A466),1,holidays_US!$A:$A)</f>
        <v>44509</v>
      </c>
    </row>
    <row r="467" spans="1:3" x14ac:dyDescent="0.2">
      <c r="A467" s="11">
        <v>44509.332824074074</v>
      </c>
      <c r="B467" s="6">
        <v>0.05</v>
      </c>
      <c r="C467" s="11">
        <f>WORKDAY(INT($A467),1,holidays_US!$A:$A)</f>
        <v>44510</v>
      </c>
    </row>
    <row r="468" spans="1:3" x14ac:dyDescent="0.2">
      <c r="A468" s="11">
        <v>44510.332916666666</v>
      </c>
      <c r="B468" s="6">
        <v>0.05</v>
      </c>
      <c r="C468" s="11">
        <f>WORKDAY(INT($A468),1,holidays_US!$A:$A)</f>
        <v>44512</v>
      </c>
    </row>
    <row r="469" spans="1:3" x14ac:dyDescent="0.2">
      <c r="A469" s="11">
        <v>44512.332743055558</v>
      </c>
      <c r="B469" s="6">
        <v>0.05</v>
      </c>
      <c r="C469" s="11">
        <f>WORKDAY(INT($A469),1,holidays_US!$A:$A)</f>
        <v>44515</v>
      </c>
    </row>
    <row r="470" spans="1:3" x14ac:dyDescent="0.2">
      <c r="A470" s="11">
        <v>44515.332719907405</v>
      </c>
      <c r="B470" s="6">
        <v>0.05</v>
      </c>
      <c r="C470" s="11">
        <f>WORKDAY(INT($A470),1,holidays_US!$A:$A)</f>
        <v>44516</v>
      </c>
    </row>
    <row r="471" spans="1:3" x14ac:dyDescent="0.2">
      <c r="A471" s="11">
        <v>44516.332719907405</v>
      </c>
      <c r="B471" s="6">
        <v>0.05</v>
      </c>
      <c r="C471" s="11">
        <f>WORKDAY(INT($A471),1,holidays_US!$A:$A)</f>
        <v>44517</v>
      </c>
    </row>
    <row r="472" spans="1:3" x14ac:dyDescent="0.2">
      <c r="A472" s="11">
        <v>44517.332743055558</v>
      </c>
      <c r="B472" s="6">
        <v>0.05</v>
      </c>
      <c r="C472" s="11">
        <f>WORKDAY(INT($A472),1,holidays_US!$A:$A)</f>
        <v>44518</v>
      </c>
    </row>
    <row r="473" spans="1:3" x14ac:dyDescent="0.2">
      <c r="A473" s="11">
        <v>44518.332777777781</v>
      </c>
      <c r="B473" s="6">
        <v>0.05</v>
      </c>
      <c r="C473" s="11">
        <f>WORKDAY(INT($A473),1,holidays_US!$A:$A)</f>
        <v>44519</v>
      </c>
    </row>
    <row r="474" spans="1:3" x14ac:dyDescent="0.2">
      <c r="A474" s="11">
        <v>44519.332824074074</v>
      </c>
      <c r="B474" s="6">
        <v>0.05</v>
      </c>
      <c r="C474" s="11">
        <f>WORKDAY(INT($A474),1,holidays_US!$A:$A)</f>
        <v>44522</v>
      </c>
    </row>
    <row r="475" spans="1:3" x14ac:dyDescent="0.2">
      <c r="A475" s="11">
        <v>44522.34170138889</v>
      </c>
      <c r="B475" s="6">
        <v>0.05</v>
      </c>
      <c r="C475" s="11">
        <f>WORKDAY(INT($A475),1,holidays_US!$A:$A)</f>
        <v>44523</v>
      </c>
    </row>
    <row r="476" spans="1:3" x14ac:dyDescent="0.2">
      <c r="A476" s="11">
        <v>44523.332708333335</v>
      </c>
      <c r="B476" s="6">
        <v>0.05</v>
      </c>
      <c r="C476" s="11">
        <f>WORKDAY(INT($A476),1,holidays_US!$A:$A)</f>
        <v>44524</v>
      </c>
    </row>
    <row r="477" spans="1:3" x14ac:dyDescent="0.2">
      <c r="A477" s="11">
        <v>44524.332812499997</v>
      </c>
      <c r="B477" s="6">
        <v>0.05</v>
      </c>
      <c r="C477" s="11">
        <f>WORKDAY(INT($A477),1,holidays_US!$A:$A)</f>
        <v>44526</v>
      </c>
    </row>
    <row r="478" spans="1:3" x14ac:dyDescent="0.2">
      <c r="A478" s="11">
        <v>44526.332835648151</v>
      </c>
      <c r="B478" s="6">
        <v>0.05</v>
      </c>
      <c r="C478" s="11">
        <f>WORKDAY(INT($A478),1,holidays_US!$A:$A)</f>
        <v>44529</v>
      </c>
    </row>
    <row r="479" spans="1:3" x14ac:dyDescent="0.2">
      <c r="A479" s="11">
        <v>44529.332835648151</v>
      </c>
      <c r="B479" s="6">
        <v>0.05</v>
      </c>
      <c r="C479" s="11">
        <f>WORKDAY(INT($A479),1,holidays_US!$A:$A)</f>
        <v>44530</v>
      </c>
    </row>
    <row r="480" spans="1:3" x14ac:dyDescent="0.2">
      <c r="A480" s="11">
        <v>44530.333078703705</v>
      </c>
      <c r="B480" s="6">
        <v>0.05</v>
      </c>
      <c r="C480" s="11">
        <f>WORKDAY(INT($A480),1,holidays_US!$A:$A)</f>
        <v>44531</v>
      </c>
    </row>
    <row r="481" spans="1:3" x14ac:dyDescent="0.2">
      <c r="A481" s="11">
        <v>44531.332870370374</v>
      </c>
      <c r="B481" s="6">
        <v>0.05</v>
      </c>
      <c r="C481" s="11">
        <f>WORKDAY(INT($A481),1,holidays_US!$A:$A)</f>
        <v>44532</v>
      </c>
    </row>
    <row r="482" spans="1:3" x14ac:dyDescent="0.2">
      <c r="A482" s="11">
        <v>44532.332800925928</v>
      </c>
      <c r="B482" s="6">
        <v>0.05</v>
      </c>
      <c r="C482" s="11">
        <f>WORKDAY(INT($A482),1,holidays_US!$A:$A)</f>
        <v>44533</v>
      </c>
    </row>
    <row r="483" spans="1:3" x14ac:dyDescent="0.2">
      <c r="A483" s="11">
        <v>44533.332696759258</v>
      </c>
      <c r="B483" s="6">
        <v>0.05</v>
      </c>
      <c r="C483" s="11">
        <f>WORKDAY(INT($A483),1,holidays_US!$A:$A)</f>
        <v>44536</v>
      </c>
    </row>
    <row r="484" spans="1:3" x14ac:dyDescent="0.2">
      <c r="A484" s="11">
        <v>44536.332708333335</v>
      </c>
      <c r="B484" s="6">
        <v>0.05</v>
      </c>
      <c r="C484" s="11">
        <f>WORKDAY(INT($A484),1,holidays_US!$A:$A)</f>
        <v>44537</v>
      </c>
    </row>
    <row r="485" spans="1:3" x14ac:dyDescent="0.2">
      <c r="A485" s="11">
        <v>44537.332766203705</v>
      </c>
      <c r="B485" s="6">
        <v>0.05</v>
      </c>
      <c r="C485" s="11">
        <f>WORKDAY(INT($A485),1,holidays_US!$A:$A)</f>
        <v>44538</v>
      </c>
    </row>
    <row r="486" spans="1:3" x14ac:dyDescent="0.2">
      <c r="A486" s="11">
        <v>44538.332708333335</v>
      </c>
      <c r="B486" s="6">
        <v>0.05</v>
      </c>
      <c r="C486" s="11">
        <f>WORKDAY(INT($A486),1,holidays_US!$A:$A)</f>
        <v>44539</v>
      </c>
    </row>
    <row r="487" spans="1:3" x14ac:dyDescent="0.2">
      <c r="A487" s="11">
        <v>44539.332696759258</v>
      </c>
      <c r="B487" s="6">
        <v>0.05</v>
      </c>
      <c r="C487" s="11">
        <f>WORKDAY(INT($A487),1,holidays_US!$A:$A)</f>
        <v>44540</v>
      </c>
    </row>
    <row r="488" spans="1:3" x14ac:dyDescent="0.2">
      <c r="A488" s="11">
        <v>44540.332708333335</v>
      </c>
      <c r="B488" s="6">
        <v>0.05</v>
      </c>
      <c r="C488" s="11">
        <f>WORKDAY(INT($A488),1,holidays_US!$A:$A)</f>
        <v>44543</v>
      </c>
    </row>
    <row r="489" spans="1:3" x14ac:dyDescent="0.2">
      <c r="A489" s="11">
        <v>44543.332743055558</v>
      </c>
      <c r="B489" s="6">
        <v>0.05</v>
      </c>
      <c r="C489" s="11">
        <f>WORKDAY(INT($A489),1,holidays_US!$A:$A)</f>
        <v>44544</v>
      </c>
    </row>
    <row r="490" spans="1:3" x14ac:dyDescent="0.2">
      <c r="A490" s="11">
        <v>44544.332731481481</v>
      </c>
      <c r="B490" s="6">
        <v>0.05</v>
      </c>
      <c r="C490" s="11">
        <f>WORKDAY(INT($A490),1,holidays_US!$A:$A)</f>
        <v>44545</v>
      </c>
    </row>
    <row r="491" spans="1:3" x14ac:dyDescent="0.2">
      <c r="A491" s="11">
        <v>44545.332777777781</v>
      </c>
      <c r="B491" s="6">
        <v>0.05</v>
      </c>
      <c r="C491" s="11">
        <f>WORKDAY(INT($A491),1,holidays_US!$A:$A)</f>
        <v>44546</v>
      </c>
    </row>
    <row r="492" spans="1:3" x14ac:dyDescent="0.2">
      <c r="A492" s="11">
        <v>44546.332731481481</v>
      </c>
      <c r="B492" s="6">
        <v>0.05</v>
      </c>
      <c r="C492" s="11">
        <f>WORKDAY(INT($A492),1,holidays_US!$A:$A)</f>
        <v>44547</v>
      </c>
    </row>
    <row r="493" spans="1:3" x14ac:dyDescent="0.2">
      <c r="A493" s="11">
        <v>44547.332835648151</v>
      </c>
      <c r="B493" s="6">
        <v>0.05</v>
      </c>
      <c r="C493" s="11">
        <f>WORKDAY(INT($A493),1,holidays_US!$A:$A)</f>
        <v>44550</v>
      </c>
    </row>
    <row r="494" spans="1:3" x14ac:dyDescent="0.2">
      <c r="A494" s="11">
        <v>44550.332835648151</v>
      </c>
      <c r="B494" s="6">
        <v>0.04</v>
      </c>
      <c r="C494" s="11">
        <f>WORKDAY(INT($A494),1,holidays_US!$A:$A)</f>
        <v>44551</v>
      </c>
    </row>
    <row r="495" spans="1:3" x14ac:dyDescent="0.2">
      <c r="A495" s="11">
        <v>44551.332824074074</v>
      </c>
      <c r="B495" s="6">
        <v>0.05</v>
      </c>
      <c r="C495" s="11">
        <f>WORKDAY(INT($A495),1,holidays_US!$A:$A)</f>
        <v>44552</v>
      </c>
    </row>
    <row r="496" spans="1:3" x14ac:dyDescent="0.2">
      <c r="A496" s="11">
        <v>44552.33284722222</v>
      </c>
      <c r="B496" s="6">
        <v>0.05</v>
      </c>
      <c r="C496" s="11">
        <f>WORKDAY(INT($A496),1,holidays_US!$A:$A)</f>
        <v>44553</v>
      </c>
    </row>
    <row r="497" spans="1:3" x14ac:dyDescent="0.2">
      <c r="A497" s="11">
        <v>44553.332696759258</v>
      </c>
      <c r="B497" s="6">
        <v>0.05</v>
      </c>
      <c r="C497" s="11">
        <f>WORKDAY(INT($A497),1,holidays_US!$A:$A)</f>
        <v>44557</v>
      </c>
    </row>
    <row r="498" spans="1:3" x14ac:dyDescent="0.2">
      <c r="A498" s="11">
        <v>44557.332731481481</v>
      </c>
      <c r="B498" s="6">
        <v>0.05</v>
      </c>
      <c r="C498" s="11">
        <f>WORKDAY(INT($A498),1,holidays_US!$A:$A)</f>
        <v>44558</v>
      </c>
    </row>
    <row r="499" spans="1:3" x14ac:dyDescent="0.2">
      <c r="A499" s="11">
        <v>44558.332800925928</v>
      </c>
      <c r="B499" s="6">
        <v>0.05</v>
      </c>
      <c r="C499" s="11">
        <f>WORKDAY(INT($A499),1,holidays_US!$A:$A)</f>
        <v>44559</v>
      </c>
    </row>
    <row r="500" spans="1:3" x14ac:dyDescent="0.2">
      <c r="A500" s="11">
        <v>44559.332743055558</v>
      </c>
      <c r="B500" s="6">
        <v>0.05</v>
      </c>
      <c r="C500" s="11">
        <f>WORKDAY(INT($A500),1,holidays_US!$A:$A)</f>
        <v>44560</v>
      </c>
    </row>
    <row r="501" spans="1:3" x14ac:dyDescent="0.2">
      <c r="A501" s="11">
        <v>44560.332835648151</v>
      </c>
      <c r="B501" s="6">
        <v>0.05</v>
      </c>
      <c r="C501" s="11">
        <f>WORKDAY(INT($A501),1,holidays_US!$A:$A)</f>
        <v>44561</v>
      </c>
    </row>
    <row r="502" spans="1:3" x14ac:dyDescent="0.2">
      <c r="A502" s="11">
        <v>44561.332754629628</v>
      </c>
      <c r="B502" s="6">
        <v>0.05</v>
      </c>
      <c r="C502" s="11">
        <f>WORKDAY(INT($A502),1,holidays_US!$A:$A)</f>
        <v>44564</v>
      </c>
    </row>
    <row r="503" spans="1:3" x14ac:dyDescent="0.2">
      <c r="A503" s="11">
        <v>44564.332685185182</v>
      </c>
      <c r="B503" s="6">
        <v>0.05</v>
      </c>
      <c r="C503" s="11">
        <f>WORKDAY(INT($A503),1,holidays_US!$A:$A)</f>
        <v>44565</v>
      </c>
    </row>
    <row r="504" spans="1:3" x14ac:dyDescent="0.2">
      <c r="A504" s="11">
        <v>44565.332685185182</v>
      </c>
      <c r="B504" s="6">
        <v>0.05</v>
      </c>
      <c r="C504" s="11">
        <f>WORKDAY(INT($A504),1,holidays_US!$A:$A)</f>
        <v>44566</v>
      </c>
    </row>
    <row r="505" spans="1:3" x14ac:dyDescent="0.2">
      <c r="A505" s="11">
        <v>44566.332685185182</v>
      </c>
      <c r="B505" s="6">
        <v>0.05</v>
      </c>
      <c r="C505" s="11">
        <f>WORKDAY(INT($A505),1,holidays_US!$A:$A)</f>
        <v>44567</v>
      </c>
    </row>
    <row r="506" spans="1:3" x14ac:dyDescent="0.2">
      <c r="A506" s="11">
        <v>44567.332696759258</v>
      </c>
      <c r="B506" s="6">
        <v>0.05</v>
      </c>
      <c r="C506" s="11">
        <f>WORKDAY(INT($A506),1,holidays_US!$A:$A)</f>
        <v>44568</v>
      </c>
    </row>
    <row r="507" spans="1:3" x14ac:dyDescent="0.2">
      <c r="A507" s="11">
        <v>44568.332777777781</v>
      </c>
      <c r="B507" s="6">
        <v>0.05</v>
      </c>
      <c r="C507" s="11">
        <f>WORKDAY(INT($A507),1,holidays_US!$A:$A)</f>
        <v>44571</v>
      </c>
    </row>
    <row r="508" spans="1:3" x14ac:dyDescent="0.2">
      <c r="A508" s="11">
        <v>44571.332789351851</v>
      </c>
      <c r="B508" s="6">
        <v>0.05</v>
      </c>
      <c r="C508" s="11">
        <f>WORKDAY(INT($A508),1,holidays_US!$A:$A)</f>
        <v>44572</v>
      </c>
    </row>
    <row r="509" spans="1:3" x14ac:dyDescent="0.2">
      <c r="A509" s="11">
        <v>44572.332754629628</v>
      </c>
      <c r="B509" s="6">
        <v>0.05</v>
      </c>
      <c r="C509" s="11">
        <f>WORKDAY(INT($A509),1,holidays_US!$A:$A)</f>
        <v>44573</v>
      </c>
    </row>
    <row r="510" spans="1:3" x14ac:dyDescent="0.2">
      <c r="A510" s="11">
        <v>44573.332777777781</v>
      </c>
      <c r="B510" s="6">
        <v>0.05</v>
      </c>
      <c r="C510" s="11">
        <f>WORKDAY(INT($A510),1,holidays_US!$A:$A)</f>
        <v>44574</v>
      </c>
    </row>
    <row r="511" spans="1:3" x14ac:dyDescent="0.2">
      <c r="A511" s="11">
        <v>44574.332789351851</v>
      </c>
      <c r="B511" s="6">
        <v>0.05</v>
      </c>
      <c r="C511" s="11">
        <f>WORKDAY(INT($A511),1,holidays_US!$A:$A)</f>
        <v>44575</v>
      </c>
    </row>
    <row r="512" spans="1:3" x14ac:dyDescent="0.2">
      <c r="A512" s="11">
        <v>44575.332835648151</v>
      </c>
      <c r="B512" s="6">
        <v>0.05</v>
      </c>
      <c r="C512" s="11">
        <f>WORKDAY(INT($A512),1,holidays_US!$A:$A)</f>
        <v>44579</v>
      </c>
    </row>
    <row r="513" spans="1:3" x14ac:dyDescent="0.2">
      <c r="A513" s="11">
        <v>44579.332835648151</v>
      </c>
      <c r="B513" s="6">
        <v>0.05</v>
      </c>
      <c r="C513" s="11">
        <f>WORKDAY(INT($A513),1,holidays_US!$A:$A)</f>
        <v>44580</v>
      </c>
    </row>
    <row r="514" spans="1:3" x14ac:dyDescent="0.2">
      <c r="A514" s="11">
        <v>44580.332789351851</v>
      </c>
      <c r="B514" s="6">
        <v>0.05</v>
      </c>
      <c r="C514" s="11">
        <f>WORKDAY(INT($A514),1,holidays_US!$A:$A)</f>
        <v>44581</v>
      </c>
    </row>
    <row r="515" spans="1:3" x14ac:dyDescent="0.2">
      <c r="A515" s="11">
        <v>44581.332939814813</v>
      </c>
      <c r="B515" s="6">
        <v>0.04</v>
      </c>
      <c r="C515" s="11">
        <f>WORKDAY(INT($A515),1,holidays_US!$A:$A)</f>
        <v>44582</v>
      </c>
    </row>
    <row r="516" spans="1:3" x14ac:dyDescent="0.2">
      <c r="A516" s="11">
        <v>44582.332766203705</v>
      </c>
      <c r="B516" s="6">
        <v>0.05</v>
      </c>
      <c r="C516" s="11">
        <f>WORKDAY(INT($A516),1,holidays_US!$A:$A)</f>
        <v>44585</v>
      </c>
    </row>
    <row r="517" spans="1:3" x14ac:dyDescent="0.2">
      <c r="A517" s="11">
        <v>44585.332800925928</v>
      </c>
      <c r="B517" s="6">
        <v>0.04</v>
      </c>
      <c r="C517" s="11">
        <f>WORKDAY(INT($A517),1,holidays_US!$A:$A)</f>
        <v>44586</v>
      </c>
    </row>
    <row r="518" spans="1:3" x14ac:dyDescent="0.2">
      <c r="A518" s="11">
        <v>44586.332719907405</v>
      </c>
      <c r="B518" s="6">
        <v>0.05</v>
      </c>
      <c r="C518" s="11">
        <f>WORKDAY(INT($A518),1,holidays_US!$A:$A)</f>
        <v>44587</v>
      </c>
    </row>
    <row r="519" spans="1:3" x14ac:dyDescent="0.2">
      <c r="A519" s="11">
        <v>44587.332731481481</v>
      </c>
      <c r="B519" s="6">
        <v>0.04</v>
      </c>
      <c r="C519" s="11">
        <f>WORKDAY(INT($A519),1,holidays_US!$A:$A)</f>
        <v>44588</v>
      </c>
    </row>
    <row r="520" spans="1:3" x14ac:dyDescent="0.2">
      <c r="A520" s="11">
        <v>44588.332743055558</v>
      </c>
      <c r="B520" s="6">
        <v>0.04</v>
      </c>
      <c r="C520" s="11">
        <f>WORKDAY(INT($A520),1,holidays_US!$A:$A)</f>
        <v>44589</v>
      </c>
    </row>
    <row r="521" spans="1:3" x14ac:dyDescent="0.2">
      <c r="A521" s="11">
        <v>44589.332870370374</v>
      </c>
      <c r="B521" s="6">
        <v>0.05</v>
      </c>
      <c r="C521" s="11">
        <f>WORKDAY(INT($A521),1,holidays_US!$A:$A)</f>
        <v>44592</v>
      </c>
    </row>
    <row r="522" spans="1:3" x14ac:dyDescent="0.2">
      <c r="A522" s="11">
        <v>44592.33284722222</v>
      </c>
      <c r="B522" s="6">
        <v>0.05</v>
      </c>
      <c r="C522" s="11">
        <f>WORKDAY(INT($A522),1,holidays_US!$A:$A)</f>
        <v>44593</v>
      </c>
    </row>
    <row r="523" spans="1:3" x14ac:dyDescent="0.2">
      <c r="A523" s="11">
        <v>44593.332754629628</v>
      </c>
      <c r="B523" s="6">
        <v>0.05</v>
      </c>
      <c r="C523" s="11">
        <f>WORKDAY(INT($A523),1,holidays_US!$A:$A)</f>
        <v>44594</v>
      </c>
    </row>
    <row r="524" spans="1:3" x14ac:dyDescent="0.2">
      <c r="A524" s="11">
        <v>44594.332708333335</v>
      </c>
      <c r="B524" s="6">
        <v>0.05</v>
      </c>
      <c r="C524" s="11">
        <f>WORKDAY(INT($A524),1,holidays_US!$A:$A)</f>
        <v>44595</v>
      </c>
    </row>
    <row r="525" spans="1:3" x14ac:dyDescent="0.2">
      <c r="A525" s="11">
        <v>44595.332812499997</v>
      </c>
      <c r="B525" s="6">
        <v>0.05</v>
      </c>
      <c r="C525" s="11">
        <f>WORKDAY(INT($A525),1,holidays_US!$A:$A)</f>
        <v>44596</v>
      </c>
    </row>
    <row r="526" spans="1:3" x14ac:dyDescent="0.2">
      <c r="A526" s="11">
        <v>44596.332800925928</v>
      </c>
      <c r="B526" s="6">
        <v>0.05</v>
      </c>
      <c r="C526" s="11">
        <f>WORKDAY(INT($A526),1,holidays_US!$A:$A)</f>
        <v>44599</v>
      </c>
    </row>
    <row r="527" spans="1:3" x14ac:dyDescent="0.2">
      <c r="A527" s="11">
        <v>44599.332812499997</v>
      </c>
      <c r="B527" s="6">
        <v>0.05</v>
      </c>
      <c r="C527" s="11">
        <f>WORKDAY(INT($A527),1,holidays_US!$A:$A)</f>
        <v>44600</v>
      </c>
    </row>
    <row r="528" spans="1:3" x14ac:dyDescent="0.2">
      <c r="A528" s="11">
        <v>44600.332870370374</v>
      </c>
      <c r="B528" s="6">
        <v>0.05</v>
      </c>
      <c r="C528" s="11">
        <f>WORKDAY(INT($A528),1,holidays_US!$A:$A)</f>
        <v>44601</v>
      </c>
    </row>
    <row r="529" spans="1:3" x14ac:dyDescent="0.2">
      <c r="A529" s="11">
        <v>44601.332824074074</v>
      </c>
      <c r="B529" s="6">
        <v>0.04</v>
      </c>
      <c r="C529" s="11">
        <f>WORKDAY(INT($A529),1,holidays_US!$A:$A)</f>
        <v>44602</v>
      </c>
    </row>
    <row r="530" spans="1:3" x14ac:dyDescent="0.2">
      <c r="A530" s="11">
        <v>44602.332916666666</v>
      </c>
      <c r="B530" s="6">
        <v>0.05</v>
      </c>
      <c r="C530" s="11">
        <f>WORKDAY(INT($A530),1,holidays_US!$A:$A)</f>
        <v>44603</v>
      </c>
    </row>
    <row r="531" spans="1:3" x14ac:dyDescent="0.2">
      <c r="A531" s="11">
        <v>44603.332766203705</v>
      </c>
      <c r="B531" s="6">
        <v>0.05</v>
      </c>
      <c r="C531" s="11">
        <f>WORKDAY(INT($A531),1,holidays_US!$A:$A)</f>
        <v>44606</v>
      </c>
    </row>
    <row r="532" spans="1:3" x14ac:dyDescent="0.2">
      <c r="A532" s="11">
        <v>44606.332812499997</v>
      </c>
      <c r="B532" s="6">
        <v>0.05</v>
      </c>
      <c r="C532" s="11">
        <f>WORKDAY(INT($A532),1,holidays_US!$A:$A)</f>
        <v>44607</v>
      </c>
    </row>
    <row r="533" spans="1:3" x14ac:dyDescent="0.2">
      <c r="A533" s="11">
        <v>44607.332777777781</v>
      </c>
      <c r="B533" s="6">
        <v>0.05</v>
      </c>
      <c r="C533" s="11">
        <f>WORKDAY(INT($A533),1,holidays_US!$A:$A)</f>
        <v>44608</v>
      </c>
    </row>
    <row r="534" spans="1:3" x14ac:dyDescent="0.2">
      <c r="A534" s="11">
        <v>44608.33284722222</v>
      </c>
      <c r="B534" s="6">
        <v>0.05</v>
      </c>
      <c r="C534" s="11">
        <f>WORKDAY(INT($A534),1,holidays_US!$A:$A)</f>
        <v>44609</v>
      </c>
    </row>
    <row r="535" spans="1:3" x14ac:dyDescent="0.2">
      <c r="A535" s="11">
        <v>44609.332800925928</v>
      </c>
      <c r="B535" s="6">
        <v>0.05</v>
      </c>
      <c r="C535" s="11">
        <f>WORKDAY(INT($A535),1,holidays_US!$A:$A)</f>
        <v>44610</v>
      </c>
    </row>
    <row r="536" spans="1:3" x14ac:dyDescent="0.2">
      <c r="A536" s="11">
        <v>44610.332777777781</v>
      </c>
      <c r="B536" s="6">
        <v>0.05</v>
      </c>
      <c r="C536" s="11">
        <f>WORKDAY(INT($A536),1,holidays_US!$A:$A)</f>
        <v>44614</v>
      </c>
    </row>
    <row r="537" spans="1:3" x14ac:dyDescent="0.2">
      <c r="A537" s="11">
        <v>44614.332766203705</v>
      </c>
      <c r="B537" s="6">
        <v>0.05</v>
      </c>
      <c r="C537" s="11">
        <f>WORKDAY(INT($A537),1,holidays_US!$A:$A)</f>
        <v>44615</v>
      </c>
    </row>
    <row r="538" spans="1:3" x14ac:dyDescent="0.2">
      <c r="A538" s="11">
        <v>44615.333819444444</v>
      </c>
      <c r="B538" s="6">
        <v>0.05</v>
      </c>
      <c r="C538" s="11">
        <f>WORKDAY(INT($A538),1,holidays_US!$A:$A)</f>
        <v>44616</v>
      </c>
    </row>
    <row r="539" spans="1:3" x14ac:dyDescent="0.2">
      <c r="A539" s="11">
        <v>44616.332777777781</v>
      </c>
      <c r="B539" s="6">
        <v>0.05</v>
      </c>
      <c r="C539" s="11">
        <f>WORKDAY(INT($A539),1,holidays_US!$A:$A)</f>
        <v>44617</v>
      </c>
    </row>
    <row r="540" spans="1:3" x14ac:dyDescent="0.2">
      <c r="A540" s="11">
        <v>44617.332858796297</v>
      </c>
      <c r="B540" s="6">
        <v>0.05</v>
      </c>
      <c r="C540" s="11">
        <f>WORKDAY(INT($A540),1,holidays_US!$A:$A)</f>
        <v>44620</v>
      </c>
    </row>
    <row r="541" spans="1:3" x14ac:dyDescent="0.2">
      <c r="A541" s="11">
        <v>44620.33284722222</v>
      </c>
      <c r="B541" s="6">
        <v>0.05</v>
      </c>
      <c r="C541" s="11">
        <f>WORKDAY(INT($A541),1,holidays_US!$A:$A)</f>
        <v>44621</v>
      </c>
    </row>
    <row r="542" spans="1:3" x14ac:dyDescent="0.2">
      <c r="A542" s="11">
        <v>44621.332870370374</v>
      </c>
      <c r="B542" s="6">
        <v>0.05</v>
      </c>
      <c r="C542" s="11">
        <f>WORKDAY(INT($A542),1,holidays_US!$A:$A)</f>
        <v>44622</v>
      </c>
    </row>
    <row r="543" spans="1:3" x14ac:dyDescent="0.2">
      <c r="A543" s="11">
        <v>44622.33284722222</v>
      </c>
      <c r="B543" s="6">
        <v>0.05</v>
      </c>
      <c r="C543" s="11">
        <f>WORKDAY(INT($A543),1,holidays_US!$A:$A)</f>
        <v>44623</v>
      </c>
    </row>
    <row r="544" spans="1:3" x14ac:dyDescent="0.2">
      <c r="A544" s="11">
        <v>44623.33284722222</v>
      </c>
      <c r="B544" s="6">
        <v>0.05</v>
      </c>
      <c r="C544" s="11">
        <f>WORKDAY(INT($A544),1,holidays_US!$A:$A)</f>
        <v>44624</v>
      </c>
    </row>
    <row r="545" spans="1:3" x14ac:dyDescent="0.2">
      <c r="A545" s="11">
        <v>44624.33284722222</v>
      </c>
      <c r="B545" s="6">
        <v>0.05</v>
      </c>
      <c r="C545" s="11">
        <f>WORKDAY(INT($A545),1,holidays_US!$A:$A)</f>
        <v>44627</v>
      </c>
    </row>
    <row r="546" spans="1:3" x14ac:dyDescent="0.2">
      <c r="A546" s="11">
        <v>44627.332905092589</v>
      </c>
      <c r="B546" s="6">
        <v>0.05</v>
      </c>
      <c r="C546" s="11">
        <f>WORKDAY(INT($A546),1,holidays_US!$A:$A)</f>
        <v>44628</v>
      </c>
    </row>
    <row r="547" spans="1:3" x14ac:dyDescent="0.2">
      <c r="A547" s="11">
        <v>44628.332858796297</v>
      </c>
      <c r="B547" s="6">
        <v>0.05</v>
      </c>
      <c r="C547" s="11">
        <f>WORKDAY(INT($A547),1,holidays_US!$A:$A)</f>
        <v>44629</v>
      </c>
    </row>
    <row r="548" spans="1:3" x14ac:dyDescent="0.2">
      <c r="A548" s="11">
        <v>44629.332858796297</v>
      </c>
      <c r="B548" s="6">
        <v>0.05</v>
      </c>
      <c r="C548" s="11">
        <f>WORKDAY(INT($A548),1,holidays_US!$A:$A)</f>
        <v>44630</v>
      </c>
    </row>
    <row r="549" spans="1:3" x14ac:dyDescent="0.2">
      <c r="A549" s="11">
        <v>44630.332835648151</v>
      </c>
      <c r="B549" s="6">
        <v>0.05</v>
      </c>
      <c r="C549" s="11">
        <f>WORKDAY(INT($A549),1,holidays_US!$A:$A)</f>
        <v>44631</v>
      </c>
    </row>
    <row r="550" spans="1:3" x14ac:dyDescent="0.2">
      <c r="A550" s="11">
        <v>44631.291134259256</v>
      </c>
      <c r="B550" s="6">
        <v>0.05</v>
      </c>
      <c r="C550" s="11">
        <f>WORKDAY(INT($A550),1,holidays_US!$A:$A)</f>
        <v>44634</v>
      </c>
    </row>
    <row r="551" spans="1:3" x14ac:dyDescent="0.2">
      <c r="A551" s="11">
        <v>44634.332789351851</v>
      </c>
      <c r="B551" s="6">
        <v>0.05</v>
      </c>
      <c r="C551" s="11">
        <f>WORKDAY(INT($A551),1,holidays_US!$A:$A)</f>
        <v>44635</v>
      </c>
    </row>
    <row r="552" spans="1:3" x14ac:dyDescent="0.2">
      <c r="A552" s="11">
        <v>44635.332777777781</v>
      </c>
      <c r="B552" s="6">
        <v>0.05</v>
      </c>
      <c r="C552" s="11">
        <f>WORKDAY(INT($A552),1,holidays_US!$A:$A)</f>
        <v>44636</v>
      </c>
    </row>
    <row r="553" spans="1:3" x14ac:dyDescent="0.2">
      <c r="A553" s="11">
        <v>44636.332800925928</v>
      </c>
      <c r="B553" s="6">
        <v>0.05</v>
      </c>
      <c r="C553" s="11">
        <f>WORKDAY(INT($A553),1,holidays_US!$A:$A)</f>
        <v>44637</v>
      </c>
    </row>
    <row r="554" spans="1:3" x14ac:dyDescent="0.2">
      <c r="A554" s="11">
        <v>44637.332812499997</v>
      </c>
      <c r="B554" s="6">
        <v>0.3</v>
      </c>
      <c r="C554" s="11">
        <f>WORKDAY(INT($A554),1,holidays_US!$A:$A)</f>
        <v>44638</v>
      </c>
    </row>
    <row r="555" spans="1:3" x14ac:dyDescent="0.2">
      <c r="A555" s="11">
        <v>44638.332766203705</v>
      </c>
      <c r="B555" s="6">
        <v>0.3</v>
      </c>
      <c r="C555" s="11">
        <f>WORKDAY(INT($A555),1,holidays_US!$A:$A)</f>
        <v>44641</v>
      </c>
    </row>
    <row r="556" spans="1:3" x14ac:dyDescent="0.2">
      <c r="A556" s="11">
        <v>44641.332766203705</v>
      </c>
      <c r="B556" s="6">
        <v>0.28999999999999998</v>
      </c>
      <c r="C556" s="11">
        <f>WORKDAY(INT($A556),1,holidays_US!$A:$A)</f>
        <v>44642</v>
      </c>
    </row>
    <row r="557" spans="1:3" x14ac:dyDescent="0.2">
      <c r="A557" s="11">
        <v>44642.332754629628</v>
      </c>
      <c r="B557" s="6">
        <v>0.28000000000000003</v>
      </c>
      <c r="C557" s="11">
        <f>WORKDAY(INT($A557),1,holidays_US!$A:$A)</f>
        <v>44643</v>
      </c>
    </row>
    <row r="558" spans="1:3" x14ac:dyDescent="0.2">
      <c r="A558" s="11">
        <v>44643.332777777781</v>
      </c>
      <c r="B558" s="6">
        <v>0.27</v>
      </c>
      <c r="C558" s="11">
        <f>WORKDAY(INT($A558),1,holidays_US!$A:$A)</f>
        <v>44644</v>
      </c>
    </row>
    <row r="559" spans="1:3" x14ac:dyDescent="0.2">
      <c r="A559" s="11">
        <v>44644.332777777781</v>
      </c>
      <c r="B559" s="6">
        <v>0.27</v>
      </c>
      <c r="C559" s="11">
        <f>WORKDAY(INT($A559),1,holidays_US!$A:$A)</f>
        <v>44645</v>
      </c>
    </row>
    <row r="560" spans="1:3" x14ac:dyDescent="0.2">
      <c r="A560" s="11">
        <v>44645.332789351851</v>
      </c>
      <c r="B560" s="6">
        <v>0.28000000000000003</v>
      </c>
      <c r="C560" s="11">
        <f>WORKDAY(INT($A560),1,holidays_US!$A:$A)</f>
        <v>44648</v>
      </c>
    </row>
    <row r="561" spans="1:3" x14ac:dyDescent="0.2">
      <c r="A561" s="11">
        <v>44648.332777777781</v>
      </c>
      <c r="B561" s="6">
        <v>0.28000000000000003</v>
      </c>
      <c r="C561" s="11">
        <f>WORKDAY(INT($A561),1,holidays_US!$A:$A)</f>
        <v>44649</v>
      </c>
    </row>
    <row r="562" spans="1:3" x14ac:dyDescent="0.2">
      <c r="A562" s="11">
        <v>44649.332777777781</v>
      </c>
      <c r="B562" s="6">
        <v>0.28000000000000003</v>
      </c>
      <c r="C562" s="11">
        <f>WORKDAY(INT($A562),1,holidays_US!$A:$A)</f>
        <v>44650</v>
      </c>
    </row>
    <row r="563" spans="1:3" x14ac:dyDescent="0.2">
      <c r="A563" s="11">
        <v>44650.332754629628</v>
      </c>
      <c r="B563" s="6">
        <v>0.27</v>
      </c>
      <c r="C563" s="11">
        <f>WORKDAY(INT($A563),1,holidays_US!$A:$A)</f>
        <v>44651</v>
      </c>
    </row>
    <row r="564" spans="1:3" x14ac:dyDescent="0.2">
      <c r="A564" s="11">
        <v>44651.332719907405</v>
      </c>
      <c r="B564" s="6">
        <v>0.28999999999999998</v>
      </c>
      <c r="C564" s="11">
        <f>WORKDAY(INT($A564),1,holidays_US!$A:$A)</f>
        <v>44652</v>
      </c>
    </row>
    <row r="565" spans="1:3" x14ac:dyDescent="0.2">
      <c r="A565" s="11">
        <v>44652.333321759259</v>
      </c>
      <c r="B565" s="6">
        <v>0.3</v>
      </c>
      <c r="C565" s="11">
        <f>WORKDAY(INT($A565),1,holidays_US!$A:$A)</f>
        <v>44655</v>
      </c>
    </row>
    <row r="566" spans="1:3" x14ac:dyDescent="0.2">
      <c r="A566" s="11">
        <v>44655.333310185182</v>
      </c>
      <c r="B566" s="6">
        <v>0.3</v>
      </c>
      <c r="C566" s="11">
        <f>WORKDAY(INT($A566),1,holidays_US!$A:$A)</f>
        <v>44656</v>
      </c>
    </row>
    <row r="567" spans="1:3" x14ac:dyDescent="0.2">
      <c r="A567" s="11">
        <v>44656.332789351851</v>
      </c>
      <c r="B567" s="6">
        <v>0.3</v>
      </c>
      <c r="C567" s="11">
        <f>WORKDAY(INT($A567),1,holidays_US!$A:$A)</f>
        <v>44657</v>
      </c>
    </row>
    <row r="568" spans="1:3" x14ac:dyDescent="0.2">
      <c r="A568" s="11">
        <v>44657.332835648151</v>
      </c>
      <c r="B568" s="6">
        <v>0.3</v>
      </c>
      <c r="C568" s="11">
        <f>WORKDAY(INT($A568),1,holidays_US!$A:$A)</f>
        <v>44658</v>
      </c>
    </row>
    <row r="569" spans="1:3" x14ac:dyDescent="0.2">
      <c r="A569" s="11">
        <v>44658.337372685186</v>
      </c>
      <c r="B569" s="6">
        <v>0.3</v>
      </c>
      <c r="C569" s="11">
        <f>WORKDAY(INT($A569),1,holidays_US!$A:$A)</f>
        <v>44659</v>
      </c>
    </row>
    <row r="570" spans="1:3" x14ac:dyDescent="0.2">
      <c r="A570" s="11">
        <v>44659.332754629628</v>
      </c>
      <c r="B570" s="6">
        <v>0.3</v>
      </c>
      <c r="C570" s="11">
        <f>WORKDAY(INT($A570),1,holidays_US!$A:$A)</f>
        <v>44662</v>
      </c>
    </row>
    <row r="571" spans="1:3" x14ac:dyDescent="0.2">
      <c r="A571" s="11">
        <v>44662.332812499997</v>
      </c>
      <c r="B571" s="6">
        <v>0.3</v>
      </c>
      <c r="C571" s="11">
        <f>WORKDAY(INT($A571),1,holidays_US!$A:$A)</f>
        <v>44663</v>
      </c>
    </row>
    <row r="572" spans="1:3" x14ac:dyDescent="0.2">
      <c r="A572" s="11">
        <v>44663.332812499997</v>
      </c>
      <c r="B572" s="6">
        <v>0.28999999999999998</v>
      </c>
      <c r="C572" s="11">
        <f>WORKDAY(INT($A572),1,holidays_US!$A:$A)</f>
        <v>44664</v>
      </c>
    </row>
    <row r="573" spans="1:3" x14ac:dyDescent="0.2">
      <c r="A573" s="11">
        <v>44664.332789351851</v>
      </c>
      <c r="B573" s="6">
        <v>0.28999999999999998</v>
      </c>
      <c r="C573" s="11">
        <f>WORKDAY(INT($A573),1,holidays_US!$A:$A)</f>
        <v>44665</v>
      </c>
    </row>
    <row r="574" spans="1:3" x14ac:dyDescent="0.2">
      <c r="A574" s="11">
        <v>44665.332777777781</v>
      </c>
      <c r="B574" s="6">
        <v>0.28999999999999998</v>
      </c>
      <c r="C574" s="11">
        <f>WORKDAY(INT($A574),1,holidays_US!$A:$A)</f>
        <v>44666</v>
      </c>
    </row>
    <row r="575" spans="1:3" x14ac:dyDescent="0.2">
      <c r="A575" s="11">
        <v>44669.332800925928</v>
      </c>
      <c r="B575" s="6">
        <v>0.28999999999999998</v>
      </c>
      <c r="C575" s="11">
        <f>WORKDAY(INT($A575),1,holidays_US!$A:$A)</f>
        <v>44670</v>
      </c>
    </row>
    <row r="576" spans="1:3" x14ac:dyDescent="0.2">
      <c r="A576" s="11">
        <v>44670.332824074074</v>
      </c>
      <c r="B576" s="6">
        <v>0.28000000000000003</v>
      </c>
      <c r="C576" s="11">
        <f>WORKDAY(INT($A576),1,holidays_US!$A:$A)</f>
        <v>44671</v>
      </c>
    </row>
    <row r="577" spans="1:3" x14ac:dyDescent="0.2">
      <c r="A577" s="11">
        <v>44671.332766203705</v>
      </c>
      <c r="B577" s="6">
        <v>0.27</v>
      </c>
      <c r="C577" s="11">
        <f>WORKDAY(INT($A577),1,holidays_US!$A:$A)</f>
        <v>44672</v>
      </c>
    </row>
    <row r="578" spans="1:3" x14ac:dyDescent="0.2">
      <c r="A578" s="11">
        <v>44672.332800925928</v>
      </c>
      <c r="B578" s="6">
        <v>0.26</v>
      </c>
      <c r="C578" s="11">
        <f>WORKDAY(INT($A578),1,holidays_US!$A:$A)</f>
        <v>44673</v>
      </c>
    </row>
    <row r="579" spans="1:3" x14ac:dyDescent="0.2">
      <c r="A579" s="11">
        <v>44673.33284722222</v>
      </c>
      <c r="B579" s="6">
        <v>0.27</v>
      </c>
      <c r="C579" s="11">
        <f>WORKDAY(INT($A579),1,holidays_US!$A:$A)</f>
        <v>44676</v>
      </c>
    </row>
    <row r="580" spans="1:3" x14ac:dyDescent="0.2">
      <c r="A580" s="11">
        <v>44676.332835648151</v>
      </c>
      <c r="B580" s="6">
        <v>0.27</v>
      </c>
      <c r="C580" s="11">
        <f>WORKDAY(INT($A580),1,holidays_US!$A:$A)</f>
        <v>44677</v>
      </c>
    </row>
    <row r="581" spans="1:3" x14ac:dyDescent="0.2">
      <c r="A581" s="11">
        <v>44677.33284722222</v>
      </c>
      <c r="B581" s="6">
        <v>0.27</v>
      </c>
      <c r="C581" s="11">
        <f>WORKDAY(INT($A581),1,holidays_US!$A:$A)</f>
        <v>44678</v>
      </c>
    </row>
    <row r="582" spans="1:3" x14ac:dyDescent="0.2">
      <c r="A582" s="11">
        <v>44678.332870370374</v>
      </c>
      <c r="B582" s="6">
        <v>0.28000000000000003</v>
      </c>
      <c r="C582" s="11">
        <f>WORKDAY(INT($A582),1,holidays_US!$A:$A)</f>
        <v>44679</v>
      </c>
    </row>
    <row r="583" spans="1:3" x14ac:dyDescent="0.2">
      <c r="A583" s="11">
        <v>44679.332835648151</v>
      </c>
      <c r="B583" s="6">
        <v>0.28000000000000003</v>
      </c>
      <c r="C583" s="11">
        <f>WORKDAY(INT($A583),1,holidays_US!$A:$A)</f>
        <v>44680</v>
      </c>
    </row>
    <row r="584" spans="1:3" x14ac:dyDescent="0.2">
      <c r="A584" s="11">
        <v>44680.332800925928</v>
      </c>
      <c r="B584" s="6">
        <v>0.28000000000000003</v>
      </c>
      <c r="C584" s="11">
        <f>WORKDAY(INT($A584),1,holidays_US!$A:$A)</f>
        <v>44683</v>
      </c>
    </row>
    <row r="585" spans="1:3" x14ac:dyDescent="0.2">
      <c r="A585" s="11">
        <v>44683.332777777781</v>
      </c>
      <c r="B585" s="6">
        <v>0.3</v>
      </c>
      <c r="C585" s="11">
        <f>WORKDAY(INT($A585),1,holidays_US!$A:$A)</f>
        <v>44684</v>
      </c>
    </row>
    <row r="586" spans="1:3" x14ac:dyDescent="0.2">
      <c r="A586" s="11">
        <v>44684.332731481481</v>
      </c>
      <c r="B586" s="6">
        <v>0.3</v>
      </c>
      <c r="C586" s="11">
        <f>WORKDAY(INT($A586),1,holidays_US!$A:$A)</f>
        <v>44685</v>
      </c>
    </row>
    <row r="587" spans="1:3" x14ac:dyDescent="0.2">
      <c r="A587" s="11">
        <v>44685.332777777781</v>
      </c>
      <c r="B587" s="6">
        <v>0.3</v>
      </c>
      <c r="C587" s="11">
        <f>WORKDAY(INT($A587),1,holidays_US!$A:$A)</f>
        <v>44686</v>
      </c>
    </row>
    <row r="588" spans="1:3" x14ac:dyDescent="0.2">
      <c r="A588" s="11">
        <v>44686.332754629628</v>
      </c>
      <c r="B588" s="6">
        <v>0.79</v>
      </c>
      <c r="C588" s="11">
        <f>WORKDAY(INT($A588),1,holidays_US!$A:$A)</f>
        <v>44687</v>
      </c>
    </row>
    <row r="589" spans="1:3" x14ac:dyDescent="0.2">
      <c r="A589" s="11">
        <v>44687.332777777781</v>
      </c>
      <c r="B589" s="6">
        <v>0.78</v>
      </c>
      <c r="C589" s="11">
        <f>WORKDAY(INT($A589),1,holidays_US!$A:$A)</f>
        <v>44690</v>
      </c>
    </row>
    <row r="590" spans="1:3" x14ac:dyDescent="0.2">
      <c r="A590" s="11">
        <v>44690.33284722222</v>
      </c>
      <c r="B590" s="6">
        <v>0.78</v>
      </c>
      <c r="C590" s="11">
        <f>WORKDAY(INT($A590),1,holidays_US!$A:$A)</f>
        <v>44691</v>
      </c>
    </row>
    <row r="591" spans="1:3" x14ac:dyDescent="0.2">
      <c r="A591" s="11">
        <v>44691.332962962966</v>
      </c>
      <c r="B591" s="6">
        <v>0.78</v>
      </c>
      <c r="C591" s="11">
        <f>WORKDAY(INT($A591),1,holidays_US!$A:$A)</f>
        <v>44692</v>
      </c>
    </row>
    <row r="592" spans="1:3" x14ac:dyDescent="0.2">
      <c r="A592" s="11">
        <v>44692.332824074074</v>
      </c>
      <c r="B592" s="6">
        <v>0.78</v>
      </c>
      <c r="C592" s="11">
        <f>WORKDAY(INT($A592),1,holidays_US!$A:$A)</f>
        <v>44693</v>
      </c>
    </row>
    <row r="593" spans="1:3" x14ac:dyDescent="0.2">
      <c r="A593" s="11">
        <v>44693.33284722222</v>
      </c>
      <c r="B593" s="6">
        <v>0.79</v>
      </c>
      <c r="C593" s="11">
        <f>WORKDAY(INT($A593),1,holidays_US!$A:$A)</f>
        <v>44694</v>
      </c>
    </row>
    <row r="594" spans="1:3" x14ac:dyDescent="0.2">
      <c r="A594" s="11">
        <v>44694.332835648151</v>
      </c>
      <c r="B594" s="6">
        <v>0.79</v>
      </c>
      <c r="C594" s="11">
        <f>WORKDAY(INT($A594),1,holidays_US!$A:$A)</f>
        <v>44697</v>
      </c>
    </row>
    <row r="595" spans="1:3" x14ac:dyDescent="0.2">
      <c r="A595" s="11">
        <v>44697.332824074074</v>
      </c>
      <c r="B595" s="6">
        <v>0.8</v>
      </c>
      <c r="C595" s="11">
        <f>WORKDAY(INT($A595),1,holidays_US!$A:$A)</f>
        <v>44698</v>
      </c>
    </row>
    <row r="596" spans="1:3" x14ac:dyDescent="0.2">
      <c r="A596" s="11">
        <v>44698.332824074074</v>
      </c>
      <c r="B596" s="6">
        <v>0.8</v>
      </c>
      <c r="C596" s="11">
        <f>WORKDAY(INT($A596),1,holidays_US!$A:$A)</f>
        <v>44699</v>
      </c>
    </row>
    <row r="597" spans="1:3" x14ac:dyDescent="0.2">
      <c r="A597" s="11">
        <v>44699.332858796297</v>
      </c>
      <c r="B597" s="6">
        <v>0.79</v>
      </c>
      <c r="C597" s="11">
        <f>WORKDAY(INT($A597),1,holidays_US!$A:$A)</f>
        <v>44700</v>
      </c>
    </row>
    <row r="598" spans="1:3" x14ac:dyDescent="0.2">
      <c r="A598" s="11">
        <v>44700.33284722222</v>
      </c>
      <c r="B598" s="6">
        <v>0.79</v>
      </c>
      <c r="C598" s="11">
        <f>WORKDAY(INT($A598),1,holidays_US!$A:$A)</f>
        <v>44701</v>
      </c>
    </row>
    <row r="599" spans="1:3" x14ac:dyDescent="0.2">
      <c r="A599" s="11">
        <v>44701.332800925928</v>
      </c>
      <c r="B599" s="6">
        <v>0.78</v>
      </c>
      <c r="C599" s="11">
        <f>WORKDAY(INT($A599),1,holidays_US!$A:$A)</f>
        <v>44704</v>
      </c>
    </row>
    <row r="600" spans="1:3" x14ac:dyDescent="0.2">
      <c r="A600" s="11">
        <v>44704.33289351852</v>
      </c>
      <c r="B600" s="6">
        <v>0.78</v>
      </c>
      <c r="C600" s="11">
        <f>WORKDAY(INT($A600),1,holidays_US!$A:$A)</f>
        <v>44705</v>
      </c>
    </row>
    <row r="601" spans="1:3" x14ac:dyDescent="0.2">
      <c r="A601" s="11">
        <v>44705.332824074074</v>
      </c>
      <c r="B601" s="6">
        <v>0.78</v>
      </c>
      <c r="C601" s="11">
        <f>WORKDAY(INT($A601),1,holidays_US!$A:$A)</f>
        <v>44706</v>
      </c>
    </row>
    <row r="602" spans="1:3" x14ac:dyDescent="0.2">
      <c r="A602" s="11">
        <v>44706.332777777781</v>
      </c>
      <c r="B602" s="6">
        <v>0.78</v>
      </c>
      <c r="C602" s="11">
        <f>WORKDAY(INT($A602),1,holidays_US!$A:$A)</f>
        <v>44707</v>
      </c>
    </row>
    <row r="603" spans="1:3" x14ac:dyDescent="0.2">
      <c r="A603" s="11">
        <v>44707.332812499997</v>
      </c>
      <c r="B603" s="6">
        <v>0.78</v>
      </c>
      <c r="C603" s="11">
        <f>WORKDAY(INT($A603),1,holidays_US!$A:$A)</f>
        <v>44708</v>
      </c>
    </row>
    <row r="604" spans="1:3" x14ac:dyDescent="0.2">
      <c r="A604" s="11">
        <v>44708.332858796297</v>
      </c>
      <c r="B604" s="6">
        <v>0.78</v>
      </c>
      <c r="C604" s="11">
        <f>WORKDAY(INT($A604),1,holidays_US!$A:$A)</f>
        <v>44712</v>
      </c>
    </row>
    <row r="605" spans="1:3" x14ac:dyDescent="0.2">
      <c r="A605" s="11">
        <v>44712.332858796297</v>
      </c>
      <c r="B605" s="6">
        <v>0.79</v>
      </c>
      <c r="C605" s="11">
        <f>WORKDAY(INT($A605),1,holidays_US!$A:$A)</f>
        <v>44713</v>
      </c>
    </row>
    <row r="606" spans="1:3" x14ac:dyDescent="0.2">
      <c r="A606" s="11">
        <v>44713.332835648151</v>
      </c>
      <c r="B606" s="6">
        <v>0.8</v>
      </c>
      <c r="C606" s="11">
        <f>WORKDAY(INT($A606),1,holidays_US!$A:$A)</f>
        <v>44714</v>
      </c>
    </row>
    <row r="607" spans="1:3" x14ac:dyDescent="0.2">
      <c r="A607" s="11">
        <v>44714.332870370374</v>
      </c>
      <c r="B607" s="6">
        <v>0.79</v>
      </c>
      <c r="C607" s="11">
        <f>WORKDAY(INT($A607),1,holidays_US!$A:$A)</f>
        <v>44715</v>
      </c>
    </row>
    <row r="608" spans="1:3" x14ac:dyDescent="0.2">
      <c r="A608" s="11">
        <v>44715.332974537036</v>
      </c>
      <c r="B608" s="6">
        <v>0.78</v>
      </c>
      <c r="C608" s="11">
        <f>WORKDAY(INT($A608),1,holidays_US!$A:$A)</f>
        <v>44718</v>
      </c>
    </row>
    <row r="609" spans="1:3" x14ac:dyDescent="0.2">
      <c r="A609" s="11">
        <v>44718.332835648151</v>
      </c>
      <c r="B609" s="6">
        <v>0.78</v>
      </c>
      <c r="C609" s="11">
        <f>WORKDAY(INT($A609),1,holidays_US!$A:$A)</f>
        <v>44719</v>
      </c>
    </row>
    <row r="610" spans="1:3" x14ac:dyDescent="0.2">
      <c r="A610" s="11">
        <v>44719.332824074074</v>
      </c>
      <c r="B610" s="6">
        <v>0.77</v>
      </c>
      <c r="C610" s="11">
        <f>WORKDAY(INT($A610),1,holidays_US!$A:$A)</f>
        <v>44720</v>
      </c>
    </row>
    <row r="611" spans="1:3" x14ac:dyDescent="0.2">
      <c r="A611" s="11">
        <v>44720.332835648151</v>
      </c>
      <c r="B611" s="6">
        <v>0.76</v>
      </c>
      <c r="C611" s="11">
        <f>WORKDAY(INT($A611),1,holidays_US!$A:$A)</f>
        <v>44721</v>
      </c>
    </row>
    <row r="612" spans="1:3" x14ac:dyDescent="0.2">
      <c r="A612" s="11">
        <v>44721.33284722222</v>
      </c>
      <c r="B612" s="6">
        <v>0.75</v>
      </c>
      <c r="C612" s="11">
        <f>WORKDAY(INT($A612),1,holidays_US!$A:$A)</f>
        <v>44722</v>
      </c>
    </row>
    <row r="613" spans="1:3" x14ac:dyDescent="0.2">
      <c r="A613" s="11">
        <v>44722.332916666666</v>
      </c>
      <c r="B613" s="6">
        <v>0.75</v>
      </c>
      <c r="C613" s="11">
        <f>WORKDAY(INT($A613),1,holidays_US!$A:$A)</f>
        <v>44725</v>
      </c>
    </row>
    <row r="614" spans="1:3" x14ac:dyDescent="0.2">
      <c r="A614" s="11">
        <v>44725.332731481481</v>
      </c>
      <c r="B614" s="6">
        <v>0.73</v>
      </c>
      <c r="C614" s="11">
        <f>WORKDAY(INT($A614),1,holidays_US!$A:$A)</f>
        <v>44726</v>
      </c>
    </row>
    <row r="615" spans="1:3" x14ac:dyDescent="0.2">
      <c r="A615" s="11">
        <v>44726.332731481481</v>
      </c>
      <c r="B615" s="6">
        <v>0.69</v>
      </c>
      <c r="C615" s="11">
        <f>WORKDAY(INT($A615),1,holidays_US!$A:$A)</f>
        <v>44727</v>
      </c>
    </row>
    <row r="616" spans="1:3" x14ac:dyDescent="0.2">
      <c r="A616" s="11">
        <v>44727.332731481481</v>
      </c>
      <c r="B616" s="6">
        <v>0.7</v>
      </c>
      <c r="C616" s="11">
        <f>WORKDAY(INT($A616),1,holidays_US!$A:$A)</f>
        <v>44728</v>
      </c>
    </row>
    <row r="617" spans="1:3" x14ac:dyDescent="0.2">
      <c r="A617" s="11">
        <v>44728.332708333335</v>
      </c>
      <c r="B617" s="6">
        <v>1.45</v>
      </c>
      <c r="C617" s="11">
        <f>WORKDAY(INT($A617),1,holidays_US!$A:$A)</f>
        <v>44729</v>
      </c>
    </row>
    <row r="618" spans="1:3" x14ac:dyDescent="0.2">
      <c r="A618" s="11">
        <v>44729.33284722222</v>
      </c>
      <c r="B618" s="6">
        <v>1.45</v>
      </c>
      <c r="C618" s="11">
        <f>WORKDAY(INT($A618),1,holidays_US!$A:$A)</f>
        <v>44733</v>
      </c>
    </row>
    <row r="619" spans="1:3" x14ac:dyDescent="0.2">
      <c r="A619" s="11">
        <v>44733.332997685182</v>
      </c>
      <c r="B619" s="6">
        <v>1.45</v>
      </c>
      <c r="C619" s="11">
        <f>WORKDAY(INT($A619),1,holidays_US!$A:$A)</f>
        <v>44734</v>
      </c>
    </row>
    <row r="620" spans="1:3" x14ac:dyDescent="0.2">
      <c r="A620" s="11">
        <v>44734.332916666666</v>
      </c>
      <c r="B620" s="6">
        <v>1.45</v>
      </c>
      <c r="C620" s="11">
        <f>WORKDAY(INT($A620),1,holidays_US!$A:$A)</f>
        <v>44735</v>
      </c>
    </row>
    <row r="621" spans="1:3" x14ac:dyDescent="0.2">
      <c r="A621" s="11">
        <v>44735.332881944443</v>
      </c>
      <c r="B621" s="6">
        <v>1.44</v>
      </c>
      <c r="C621" s="11">
        <f>WORKDAY(INT($A621),1,holidays_US!$A:$A)</f>
        <v>44736</v>
      </c>
    </row>
    <row r="622" spans="1:3" x14ac:dyDescent="0.2">
      <c r="A622" s="11">
        <v>44736.332754629628</v>
      </c>
      <c r="B622" s="6">
        <v>1.46</v>
      </c>
      <c r="C622" s="11">
        <f>WORKDAY(INT($A622),1,holidays_US!$A:$A)</f>
        <v>44739</v>
      </c>
    </row>
    <row r="623" spans="1:3" x14ac:dyDescent="0.2">
      <c r="A623" s="11">
        <v>44739.332858796297</v>
      </c>
      <c r="B623" s="6">
        <v>1.5</v>
      </c>
      <c r="C623" s="11">
        <f>WORKDAY(INT($A623),1,holidays_US!$A:$A)</f>
        <v>44740</v>
      </c>
    </row>
    <row r="624" spans="1:3" x14ac:dyDescent="0.2">
      <c r="A624" s="11">
        <v>44740.332754629628</v>
      </c>
      <c r="B624" s="6">
        <v>1.52</v>
      </c>
      <c r="C624" s="11">
        <f>WORKDAY(INT($A624),1,holidays_US!$A:$A)</f>
        <v>44741</v>
      </c>
    </row>
    <row r="625" spans="1:3" x14ac:dyDescent="0.2">
      <c r="A625" s="11">
        <v>44741.332812499997</v>
      </c>
      <c r="B625" s="6">
        <v>1.51</v>
      </c>
      <c r="C625" s="11">
        <f>WORKDAY(INT($A625),1,holidays_US!$A:$A)</f>
        <v>44742</v>
      </c>
    </row>
    <row r="626" spans="1:3" x14ac:dyDescent="0.2">
      <c r="A626" s="11">
        <v>44742.332824074074</v>
      </c>
      <c r="B626" s="6">
        <v>1.5</v>
      </c>
      <c r="C626" s="11">
        <f>WORKDAY(INT($A626),1,holidays_US!$A:$A)</f>
        <v>44743</v>
      </c>
    </row>
    <row r="627" spans="1:3" x14ac:dyDescent="0.2">
      <c r="A627" s="11">
        <v>44743.333067129628</v>
      </c>
      <c r="B627" s="6">
        <v>1.52</v>
      </c>
      <c r="C627" s="11">
        <f>WORKDAY(INT($A627),1,holidays_US!$A:$A)</f>
        <v>44747</v>
      </c>
    </row>
    <row r="628" spans="1:3" x14ac:dyDescent="0.2">
      <c r="A628" s="11">
        <v>44747.332916666666</v>
      </c>
      <c r="B628" s="6">
        <v>1.54</v>
      </c>
      <c r="C628" s="11">
        <f>WORKDAY(INT($A628),1,holidays_US!$A:$A)</f>
        <v>44748</v>
      </c>
    </row>
    <row r="629" spans="1:3" x14ac:dyDescent="0.2">
      <c r="A629" s="11">
        <v>44748.332986111112</v>
      </c>
      <c r="B629" s="6">
        <v>1.54</v>
      </c>
      <c r="C629" s="11">
        <f>WORKDAY(INT($A629),1,holidays_US!$A:$A)</f>
        <v>44749</v>
      </c>
    </row>
    <row r="630" spans="1:3" x14ac:dyDescent="0.2">
      <c r="A630" s="11">
        <v>44749.332835648151</v>
      </c>
      <c r="B630" s="6">
        <v>1.54</v>
      </c>
      <c r="C630" s="11">
        <f>WORKDAY(INT($A630),1,holidays_US!$A:$A)</f>
        <v>44750</v>
      </c>
    </row>
    <row r="631" spans="1:3" x14ac:dyDescent="0.2">
      <c r="A631" s="11">
        <v>44750.332777777781</v>
      </c>
      <c r="B631" s="6">
        <v>1.53</v>
      </c>
      <c r="C631" s="11">
        <f>WORKDAY(INT($A631),1,holidays_US!$A:$A)</f>
        <v>44753</v>
      </c>
    </row>
    <row r="632" spans="1:3" x14ac:dyDescent="0.2">
      <c r="A632" s="11">
        <v>44753.332789351851</v>
      </c>
      <c r="B632" s="6">
        <v>1.53</v>
      </c>
      <c r="C632" s="11">
        <f>WORKDAY(INT($A632),1,holidays_US!$A:$A)</f>
        <v>44754</v>
      </c>
    </row>
    <row r="633" spans="1:3" x14ac:dyDescent="0.2">
      <c r="A633" s="11">
        <v>44754.332800925928</v>
      </c>
      <c r="B633" s="6">
        <v>1.54</v>
      </c>
      <c r="C633" s="11">
        <f>WORKDAY(INT($A633),1,holidays_US!$A:$A)</f>
        <v>44755</v>
      </c>
    </row>
    <row r="634" spans="1:3" x14ac:dyDescent="0.2">
      <c r="A634" s="11">
        <v>44755.332824074074</v>
      </c>
      <c r="B634" s="6">
        <v>1.53</v>
      </c>
      <c r="C634" s="11">
        <f>WORKDAY(INT($A634),1,holidays_US!$A:$A)</f>
        <v>44756</v>
      </c>
    </row>
    <row r="635" spans="1:3" x14ac:dyDescent="0.2">
      <c r="A635" s="11">
        <v>44756.332858796297</v>
      </c>
      <c r="B635" s="6">
        <v>1.53</v>
      </c>
      <c r="C635" s="11">
        <f>WORKDAY(INT($A635),1,holidays_US!$A:$A)</f>
        <v>44757</v>
      </c>
    </row>
    <row r="636" spans="1:3" x14ac:dyDescent="0.2">
      <c r="A636" s="11">
        <v>44757.332812499997</v>
      </c>
      <c r="B636" s="6">
        <v>1.54</v>
      </c>
      <c r="C636" s="11">
        <f>WORKDAY(INT($A636),1,holidays_US!$A:$A)</f>
        <v>44760</v>
      </c>
    </row>
    <row r="637" spans="1:3" x14ac:dyDescent="0.2">
      <c r="A637" s="11">
        <v>44760.332812499997</v>
      </c>
      <c r="B637" s="6">
        <v>1.54</v>
      </c>
      <c r="C637" s="11">
        <f>WORKDAY(INT($A637),1,holidays_US!$A:$A)</f>
        <v>44761</v>
      </c>
    </row>
    <row r="638" spans="1:3" x14ac:dyDescent="0.2">
      <c r="A638" s="11">
        <v>44761.332835648151</v>
      </c>
      <c r="B638" s="6">
        <v>1.54</v>
      </c>
      <c r="C638" s="11">
        <f>WORKDAY(INT($A638),1,holidays_US!$A:$A)</f>
        <v>44762</v>
      </c>
    </row>
    <row r="639" spans="1:3" x14ac:dyDescent="0.2">
      <c r="A639" s="11">
        <v>44762.33284722222</v>
      </c>
      <c r="B639" s="6">
        <v>1.53</v>
      </c>
      <c r="C639" s="11">
        <f>WORKDAY(INT($A639),1,holidays_US!$A:$A)</f>
        <v>44763</v>
      </c>
    </row>
    <row r="640" spans="1:3" x14ac:dyDescent="0.2">
      <c r="A640" s="11">
        <v>44763.332812499997</v>
      </c>
      <c r="B640" s="6">
        <v>1.53</v>
      </c>
      <c r="C640" s="11">
        <f>WORKDAY(INT($A640),1,holidays_US!$A:$A)</f>
        <v>44764</v>
      </c>
    </row>
    <row r="641" spans="1:3" x14ac:dyDescent="0.2">
      <c r="A641" s="11">
        <v>44764.332719907405</v>
      </c>
      <c r="B641" s="6">
        <v>1.52</v>
      </c>
      <c r="C641" s="11">
        <f>WORKDAY(INT($A641),1,holidays_US!$A:$A)</f>
        <v>44767</v>
      </c>
    </row>
    <row r="642" spans="1:3" x14ac:dyDescent="0.2">
      <c r="A642" s="11">
        <v>44767.332696759258</v>
      </c>
      <c r="B642" s="6">
        <v>1.53</v>
      </c>
      <c r="C642" s="11">
        <f>WORKDAY(INT($A642),1,holidays_US!$A:$A)</f>
        <v>44768</v>
      </c>
    </row>
    <row r="643" spans="1:3" x14ac:dyDescent="0.2">
      <c r="A643" s="11">
        <v>44768.332719907405</v>
      </c>
      <c r="B643" s="6">
        <v>1.53</v>
      </c>
      <c r="C643" s="11">
        <f>WORKDAY(INT($A643),1,holidays_US!$A:$A)</f>
        <v>44769</v>
      </c>
    </row>
    <row r="644" spans="1:3" x14ac:dyDescent="0.2">
      <c r="A644" s="11">
        <v>44769.332719907405</v>
      </c>
      <c r="B644" s="6">
        <v>1.53</v>
      </c>
      <c r="C644" s="11">
        <f>WORKDAY(INT($A644),1,holidays_US!$A:$A)</f>
        <v>44770</v>
      </c>
    </row>
    <row r="645" spans="1:3" x14ac:dyDescent="0.2">
      <c r="A645" s="11">
        <v>44770.332708333335</v>
      </c>
      <c r="B645" s="6">
        <v>2.2799999999999998</v>
      </c>
      <c r="C645" s="11">
        <f>WORKDAY(INT($A645),1,holidays_US!$A:$A)</f>
        <v>44771</v>
      </c>
    </row>
    <row r="646" spans="1:3" x14ac:dyDescent="0.2">
      <c r="A646" s="11">
        <v>44771.332777777781</v>
      </c>
      <c r="B646" s="6">
        <v>2.27</v>
      </c>
      <c r="C646" s="11">
        <f>WORKDAY(INT($A646),1,holidays_US!$A:$A)</f>
        <v>44774</v>
      </c>
    </row>
    <row r="647" spans="1:3" x14ac:dyDescent="0.2">
      <c r="A647" s="11">
        <v>44774.332789351851</v>
      </c>
      <c r="B647" s="6">
        <v>2.2799999999999998</v>
      </c>
      <c r="C647" s="11">
        <f>WORKDAY(INT($A647),1,holidays_US!$A:$A)</f>
        <v>44775</v>
      </c>
    </row>
    <row r="648" spans="1:3" x14ac:dyDescent="0.2">
      <c r="A648" s="11">
        <v>44775.332708333335</v>
      </c>
      <c r="B648" s="6">
        <v>2.2999999999999998</v>
      </c>
      <c r="C648" s="11">
        <f>WORKDAY(INT($A648),1,holidays_US!$A:$A)</f>
        <v>44776</v>
      </c>
    </row>
    <row r="649" spans="1:3" x14ac:dyDescent="0.2">
      <c r="A649" s="11">
        <v>44776.332766203705</v>
      </c>
      <c r="B649" s="6">
        <v>2.29</v>
      </c>
      <c r="C649" s="11">
        <f>WORKDAY(INT($A649),1,holidays_US!$A:$A)</f>
        <v>44777</v>
      </c>
    </row>
    <row r="650" spans="1:3" x14ac:dyDescent="0.2">
      <c r="A650" s="11">
        <v>44777.332766203705</v>
      </c>
      <c r="B650" s="6">
        <v>2.29</v>
      </c>
      <c r="C650" s="11">
        <f>WORKDAY(INT($A650),1,holidays_US!$A:$A)</f>
        <v>44778</v>
      </c>
    </row>
    <row r="651" spans="1:3" x14ac:dyDescent="0.2">
      <c r="A651" s="11">
        <v>44778.332881944443</v>
      </c>
      <c r="B651" s="6">
        <v>2.2799999999999998</v>
      </c>
      <c r="C651" s="11">
        <f>WORKDAY(INT($A651),1,holidays_US!$A:$A)</f>
        <v>44781</v>
      </c>
    </row>
    <row r="652" spans="1:3" x14ac:dyDescent="0.2">
      <c r="A652" s="11">
        <v>44781.332870370374</v>
      </c>
      <c r="B652" s="6">
        <v>2.2799999999999998</v>
      </c>
      <c r="C652" s="11">
        <f>WORKDAY(INT($A652),1,holidays_US!$A:$A)</f>
        <v>44782</v>
      </c>
    </row>
    <row r="653" spans="1:3" x14ac:dyDescent="0.2">
      <c r="A653" s="11">
        <v>44782.332870370374</v>
      </c>
      <c r="B653" s="6">
        <v>2.29</v>
      </c>
      <c r="C653" s="11">
        <f>WORKDAY(INT($A653),1,holidays_US!$A:$A)</f>
        <v>44783</v>
      </c>
    </row>
    <row r="654" spans="1:3" x14ac:dyDescent="0.2">
      <c r="A654" s="11">
        <v>44783.332974537036</v>
      </c>
      <c r="B654" s="6">
        <v>2.2799999999999998</v>
      </c>
      <c r="C654" s="11">
        <f>WORKDAY(INT($A654),1,holidays_US!$A:$A)</f>
        <v>44784</v>
      </c>
    </row>
    <row r="655" spans="1:3" x14ac:dyDescent="0.2">
      <c r="A655" s="11">
        <v>44784.332824074074</v>
      </c>
      <c r="B655" s="6">
        <v>2.2799999999999998</v>
      </c>
      <c r="C655" s="11">
        <f>WORKDAY(INT($A655),1,holidays_US!$A:$A)</f>
        <v>44785</v>
      </c>
    </row>
    <row r="656" spans="1:3" x14ac:dyDescent="0.2">
      <c r="A656" s="11">
        <v>44785.332835648151</v>
      </c>
      <c r="B656" s="6">
        <v>2.2799999999999998</v>
      </c>
      <c r="C656" s="11">
        <f>WORKDAY(INT($A656),1,holidays_US!$A:$A)</f>
        <v>44788</v>
      </c>
    </row>
    <row r="657" spans="1:3" x14ac:dyDescent="0.2">
      <c r="A657" s="11">
        <v>44788.332824074074</v>
      </c>
      <c r="B657" s="6">
        <v>2.29</v>
      </c>
      <c r="C657" s="11">
        <f>WORKDAY(INT($A657),1,holidays_US!$A:$A)</f>
        <v>44789</v>
      </c>
    </row>
    <row r="658" spans="1:3" x14ac:dyDescent="0.2">
      <c r="A658" s="11">
        <v>44789.33284722222</v>
      </c>
      <c r="B658" s="6">
        <v>2.29</v>
      </c>
      <c r="C658" s="11">
        <f>WORKDAY(INT($A658),1,holidays_US!$A:$A)</f>
        <v>44790</v>
      </c>
    </row>
    <row r="659" spans="1:3" x14ac:dyDescent="0.2">
      <c r="A659" s="11">
        <v>44790.332835648151</v>
      </c>
      <c r="B659" s="6">
        <v>2.29</v>
      </c>
      <c r="C659" s="11">
        <f>WORKDAY(INT($A659),1,holidays_US!$A:$A)</f>
        <v>44791</v>
      </c>
    </row>
    <row r="660" spans="1:3" x14ac:dyDescent="0.2">
      <c r="A660" s="11">
        <v>44791.332870370374</v>
      </c>
      <c r="B660" s="6">
        <v>2.2799999999999998</v>
      </c>
      <c r="C660" s="11">
        <f>WORKDAY(INT($A660),1,holidays_US!$A:$A)</f>
        <v>44792</v>
      </c>
    </row>
    <row r="661" spans="1:3" x14ac:dyDescent="0.2">
      <c r="A661" s="11">
        <v>44792.332870370374</v>
      </c>
      <c r="B661" s="6">
        <v>2.2799999999999998</v>
      </c>
      <c r="C661" s="11">
        <f>WORKDAY(INT($A661),1,holidays_US!$A:$A)</f>
        <v>44795</v>
      </c>
    </row>
    <row r="662" spans="1:3" x14ac:dyDescent="0.2">
      <c r="A662" s="11">
        <v>44795.332881944443</v>
      </c>
      <c r="B662" s="6">
        <v>2.2799999999999998</v>
      </c>
      <c r="C662" s="11">
        <f>WORKDAY(INT($A662),1,holidays_US!$A:$A)</f>
        <v>44796</v>
      </c>
    </row>
    <row r="663" spans="1:3" x14ac:dyDescent="0.2">
      <c r="A663" s="11">
        <v>44796.332766203705</v>
      </c>
      <c r="B663" s="6">
        <v>2.27</v>
      </c>
      <c r="C663" s="11">
        <f>WORKDAY(INT($A663),1,holidays_US!$A:$A)</f>
        <v>44797</v>
      </c>
    </row>
    <row r="664" spans="1:3" x14ac:dyDescent="0.2">
      <c r="A664" s="11">
        <v>44797.332870370374</v>
      </c>
      <c r="B664" s="6">
        <v>2.27</v>
      </c>
      <c r="C664" s="11">
        <f>WORKDAY(INT($A664),1,holidays_US!$A:$A)</f>
        <v>44798</v>
      </c>
    </row>
    <row r="665" spans="1:3" x14ac:dyDescent="0.2">
      <c r="A665" s="11">
        <v>44798.332800925928</v>
      </c>
      <c r="B665" s="6">
        <v>2.2799999999999998</v>
      </c>
      <c r="C665" s="11">
        <f>WORKDAY(INT($A665),1,holidays_US!$A:$A)</f>
        <v>44799</v>
      </c>
    </row>
    <row r="666" spans="1:3" x14ac:dyDescent="0.2">
      <c r="A666" s="11">
        <v>44799.332962962966</v>
      </c>
      <c r="B666" s="6">
        <v>2.2799999999999998</v>
      </c>
      <c r="C666" s="11">
        <f>WORKDAY(INT($A666),1,holidays_US!$A:$A)</f>
        <v>44802</v>
      </c>
    </row>
    <row r="667" spans="1:3" x14ac:dyDescent="0.2">
      <c r="A667" s="11">
        <v>44802.332997685182</v>
      </c>
      <c r="B667" s="6">
        <v>2.2799999999999998</v>
      </c>
      <c r="C667" s="11">
        <f>WORKDAY(INT($A667),1,holidays_US!$A:$A)</f>
        <v>44803</v>
      </c>
    </row>
    <row r="668" spans="1:3" x14ac:dyDescent="0.2">
      <c r="A668" s="11">
        <v>44803.332951388889</v>
      </c>
      <c r="B668" s="6">
        <v>2.29</v>
      </c>
      <c r="C668" s="11">
        <f>WORKDAY(INT($A668),1,holidays_US!$A:$A)</f>
        <v>44804</v>
      </c>
    </row>
    <row r="669" spans="1:3" x14ac:dyDescent="0.2">
      <c r="A669" s="11">
        <v>44804.332986111112</v>
      </c>
      <c r="B669" s="6">
        <v>2.29</v>
      </c>
      <c r="C669" s="11">
        <f>WORKDAY(INT($A669),1,holidays_US!$A:$A)</f>
        <v>44805</v>
      </c>
    </row>
    <row r="670" spans="1:3" x14ac:dyDescent="0.2">
      <c r="A670" s="11">
        <v>44805.333043981482</v>
      </c>
      <c r="B670" s="6">
        <v>2.29</v>
      </c>
      <c r="C670" s="11">
        <f>WORKDAY(INT($A670),1,holidays_US!$A:$A)</f>
        <v>44806</v>
      </c>
    </row>
    <row r="671" spans="1:3" x14ac:dyDescent="0.2">
      <c r="A671" s="11">
        <v>44806.332743055558</v>
      </c>
      <c r="B671" s="6">
        <v>2.29</v>
      </c>
      <c r="C671" s="11">
        <f>WORKDAY(INT($A671),1,holidays_US!$A:$A)</f>
        <v>44810</v>
      </c>
    </row>
    <row r="672" spans="1:3" x14ac:dyDescent="0.2">
      <c r="A672" s="11">
        <v>44810.332789351851</v>
      </c>
      <c r="B672" s="6">
        <v>2.29</v>
      </c>
      <c r="C672" s="11">
        <f>WORKDAY(INT($A672),1,holidays_US!$A:$A)</f>
        <v>44811</v>
      </c>
    </row>
    <row r="673" spans="1:3" x14ac:dyDescent="0.2">
      <c r="A673" s="11">
        <v>44811.332754629628</v>
      </c>
      <c r="B673" s="6">
        <v>2.2799999999999998</v>
      </c>
      <c r="C673" s="11">
        <f>WORKDAY(INT($A673),1,holidays_US!$A:$A)</f>
        <v>44812</v>
      </c>
    </row>
    <row r="674" spans="1:3" x14ac:dyDescent="0.2">
      <c r="A674" s="11">
        <v>44812.332777777781</v>
      </c>
      <c r="B674" s="6">
        <v>2.2799999999999998</v>
      </c>
      <c r="C674" s="11">
        <f>WORKDAY(INT($A674),1,holidays_US!$A:$A)</f>
        <v>44813</v>
      </c>
    </row>
    <row r="675" spans="1:3" x14ac:dyDescent="0.2">
      <c r="A675" s="11">
        <v>44813.332928240743</v>
      </c>
      <c r="B675" s="6">
        <v>2.2799999999999998</v>
      </c>
      <c r="C675" s="11">
        <f>WORKDAY(INT($A675),1,holidays_US!$A:$A)</f>
        <v>44816</v>
      </c>
    </row>
    <row r="676" spans="1:3" x14ac:dyDescent="0.2">
      <c r="A676" s="11">
        <v>44816.332812499997</v>
      </c>
      <c r="B676" s="6">
        <v>2.2799999999999998</v>
      </c>
      <c r="C676" s="11">
        <f>WORKDAY(INT($A676),1,holidays_US!$A:$A)</f>
        <v>44817</v>
      </c>
    </row>
    <row r="677" spans="1:3" x14ac:dyDescent="0.2">
      <c r="A677" s="11">
        <v>44817.33289351852</v>
      </c>
      <c r="B677" s="6">
        <v>2.2799999999999998</v>
      </c>
      <c r="C677" s="11">
        <f>WORKDAY(INT($A677),1,holidays_US!$A:$A)</f>
        <v>44818</v>
      </c>
    </row>
    <row r="678" spans="1:3" x14ac:dyDescent="0.2">
      <c r="A678" s="11">
        <v>44818.33289351852</v>
      </c>
      <c r="B678" s="6">
        <v>2.27</v>
      </c>
      <c r="C678" s="11">
        <f>WORKDAY(INT($A678),1,holidays_US!$A:$A)</f>
        <v>44819</v>
      </c>
    </row>
    <row r="679" spans="1:3" x14ac:dyDescent="0.2">
      <c r="A679" s="11">
        <v>44819.332858796297</v>
      </c>
      <c r="B679" s="6">
        <v>2.2799999999999998</v>
      </c>
      <c r="C679" s="11">
        <f>WORKDAY(INT($A679),1,holidays_US!$A:$A)</f>
        <v>44820</v>
      </c>
    </row>
    <row r="680" spans="1:3" x14ac:dyDescent="0.2">
      <c r="A680" s="11">
        <v>44820.332962962966</v>
      </c>
      <c r="B680" s="6">
        <v>2.27</v>
      </c>
      <c r="C680" s="11">
        <f>WORKDAY(INT($A680),1,holidays_US!$A:$A)</f>
        <v>44823</v>
      </c>
    </row>
    <row r="681" spans="1:3" x14ac:dyDescent="0.2">
      <c r="A681" s="11">
        <v>44823.332870370374</v>
      </c>
      <c r="B681" s="6">
        <v>2.27</v>
      </c>
      <c r="C681" s="11">
        <f>WORKDAY(INT($A681),1,holidays_US!$A:$A)</f>
        <v>44824</v>
      </c>
    </row>
    <row r="682" spans="1:3" x14ac:dyDescent="0.2">
      <c r="A682" s="11">
        <v>44824.332835648151</v>
      </c>
      <c r="B682" s="6">
        <v>2.2599999999999998</v>
      </c>
      <c r="C682" s="11">
        <f>WORKDAY(INT($A682),1,holidays_US!$A:$A)</f>
        <v>44825</v>
      </c>
    </row>
    <row r="683" spans="1:3" x14ac:dyDescent="0.2">
      <c r="A683" s="11">
        <v>44825.332812499997</v>
      </c>
      <c r="B683" s="6">
        <v>2.25</v>
      </c>
      <c r="C683" s="11">
        <f>WORKDAY(INT($A683),1,holidays_US!$A:$A)</f>
        <v>44826</v>
      </c>
    </row>
    <row r="684" spans="1:3" x14ac:dyDescent="0.2">
      <c r="A684" s="11">
        <v>44826.332812499997</v>
      </c>
      <c r="B684" s="6">
        <v>2.99</v>
      </c>
      <c r="C684" s="11">
        <f>WORKDAY(INT($A684),1,holidays_US!$A:$A)</f>
        <v>44827</v>
      </c>
    </row>
    <row r="685" spans="1:3" x14ac:dyDescent="0.2">
      <c r="A685" s="11">
        <v>44827.332905092589</v>
      </c>
      <c r="B685" s="6">
        <v>2.99</v>
      </c>
      <c r="C685" s="11">
        <f>WORKDAY(INT($A685),1,holidays_US!$A:$A)</f>
        <v>44830</v>
      </c>
    </row>
    <row r="686" spans="1:3" x14ac:dyDescent="0.2">
      <c r="A686" s="11">
        <v>44830.333020833335</v>
      </c>
      <c r="B686" s="6">
        <v>2.99</v>
      </c>
      <c r="C686" s="11">
        <f>WORKDAY(INT($A686),1,holidays_US!$A:$A)</f>
        <v>44831</v>
      </c>
    </row>
    <row r="687" spans="1:3" x14ac:dyDescent="0.2">
      <c r="A687" s="11">
        <v>44831.332905092589</v>
      </c>
      <c r="B687" s="6">
        <v>2.98</v>
      </c>
      <c r="C687" s="11">
        <f>WORKDAY(INT($A687),1,holidays_US!$A:$A)</f>
        <v>44832</v>
      </c>
    </row>
    <row r="688" spans="1:3" x14ac:dyDescent="0.2">
      <c r="A688" s="11">
        <v>44832.332881944443</v>
      </c>
      <c r="B688" s="6">
        <v>2.98</v>
      </c>
      <c r="C688" s="11">
        <f>WORKDAY(INT($A688),1,holidays_US!$A:$A)</f>
        <v>44833</v>
      </c>
    </row>
    <row r="689" spans="1:3" x14ac:dyDescent="0.2">
      <c r="A689" s="11">
        <v>44833.332835648151</v>
      </c>
      <c r="B689" s="6">
        <v>2.96</v>
      </c>
      <c r="C689" s="11">
        <f>WORKDAY(INT($A689),1,holidays_US!$A:$A)</f>
        <v>44834</v>
      </c>
    </row>
    <row r="690" spans="1:3" x14ac:dyDescent="0.2">
      <c r="A690" s="11">
        <v>44834.332881944443</v>
      </c>
      <c r="B690" s="6">
        <v>2.98</v>
      </c>
      <c r="C690" s="11">
        <f>WORKDAY(INT($A690),1,holidays_US!$A:$A)</f>
        <v>44837</v>
      </c>
    </row>
    <row r="691" spans="1:3" x14ac:dyDescent="0.2">
      <c r="A691" s="11">
        <v>44837.332800925928</v>
      </c>
      <c r="B691" s="6">
        <v>3</v>
      </c>
      <c r="C691" s="11">
        <f>WORKDAY(INT($A691),1,holidays_US!$A:$A)</f>
        <v>44838</v>
      </c>
    </row>
    <row r="692" spans="1:3" x14ac:dyDescent="0.2">
      <c r="A692" s="11">
        <v>44838.332870370374</v>
      </c>
      <c r="B692" s="6">
        <v>3.04</v>
      </c>
      <c r="C692" s="11">
        <f>WORKDAY(INT($A692),1,holidays_US!$A:$A)</f>
        <v>44839</v>
      </c>
    </row>
    <row r="693" spans="1:3" x14ac:dyDescent="0.2">
      <c r="A693" s="11">
        <v>44839.332824074074</v>
      </c>
      <c r="B693" s="6">
        <v>3.04</v>
      </c>
      <c r="C693" s="11">
        <f>WORKDAY(INT($A693),1,holidays_US!$A:$A)</f>
        <v>44840</v>
      </c>
    </row>
    <row r="694" spans="1:3" x14ac:dyDescent="0.2">
      <c r="A694" s="11">
        <v>44840.332789351851</v>
      </c>
      <c r="B694" s="6">
        <v>3.05</v>
      </c>
      <c r="C694" s="11">
        <f>WORKDAY(INT($A694),1,holidays_US!$A:$A)</f>
        <v>44841</v>
      </c>
    </row>
    <row r="695" spans="1:3" x14ac:dyDescent="0.2">
      <c r="A695" s="11">
        <v>44841.332777777781</v>
      </c>
      <c r="B695" s="6">
        <v>3.05</v>
      </c>
      <c r="C695" s="11">
        <f>WORKDAY(INT($A695),1,holidays_US!$A:$A)</f>
        <v>44845</v>
      </c>
    </row>
    <row r="696" spans="1:3" x14ac:dyDescent="0.2">
      <c r="A696" s="11">
        <v>44845.332743055558</v>
      </c>
      <c r="B696" s="6">
        <v>3.05</v>
      </c>
      <c r="C696" s="11">
        <f>WORKDAY(INT($A696),1,holidays_US!$A:$A)</f>
        <v>44846</v>
      </c>
    </row>
    <row r="697" spans="1:3" x14ac:dyDescent="0.2">
      <c r="A697" s="11">
        <v>44846.332766203705</v>
      </c>
      <c r="B697" s="6">
        <v>3.04</v>
      </c>
      <c r="C697" s="11">
        <f>WORKDAY(INT($A697),1,holidays_US!$A:$A)</f>
        <v>44847</v>
      </c>
    </row>
    <row r="698" spans="1:3" x14ac:dyDescent="0.2">
      <c r="A698" s="11">
        <v>44847.332777777781</v>
      </c>
      <c r="B698" s="6">
        <v>3.04</v>
      </c>
      <c r="C698" s="11">
        <f>WORKDAY(INT($A698),1,holidays_US!$A:$A)</f>
        <v>44848</v>
      </c>
    </row>
    <row r="699" spans="1:3" x14ac:dyDescent="0.2">
      <c r="A699" s="11">
        <v>44848.332812499997</v>
      </c>
      <c r="B699" s="6">
        <v>3.04</v>
      </c>
      <c r="C699" s="11">
        <f>WORKDAY(INT($A699),1,holidays_US!$A:$A)</f>
        <v>44851</v>
      </c>
    </row>
    <row r="700" spans="1:3" x14ac:dyDescent="0.2">
      <c r="A700" s="11">
        <v>44851.332766203705</v>
      </c>
      <c r="B700" s="6">
        <v>3.05</v>
      </c>
      <c r="C700" s="11">
        <f>WORKDAY(INT($A700),1,holidays_US!$A:$A)</f>
        <v>44852</v>
      </c>
    </row>
    <row r="701" spans="1:3" x14ac:dyDescent="0.2">
      <c r="A701" s="11">
        <v>44852.332777777781</v>
      </c>
      <c r="B701" s="6">
        <v>3.04</v>
      </c>
      <c r="C701" s="11">
        <f>WORKDAY(INT($A701),1,holidays_US!$A:$A)</f>
        <v>44853</v>
      </c>
    </row>
    <row r="702" spans="1:3" x14ac:dyDescent="0.2">
      <c r="A702" s="11">
        <v>44853.332731481481</v>
      </c>
      <c r="B702" s="6">
        <v>3.04</v>
      </c>
      <c r="C702" s="11">
        <f>WORKDAY(INT($A702),1,holidays_US!$A:$A)</f>
        <v>44854</v>
      </c>
    </row>
    <row r="703" spans="1:3" x14ac:dyDescent="0.2">
      <c r="A703" s="11">
        <v>44854.332731481481</v>
      </c>
      <c r="B703" s="6">
        <v>3.03</v>
      </c>
      <c r="C703" s="11">
        <f>WORKDAY(INT($A703),1,holidays_US!$A:$A)</f>
        <v>44855</v>
      </c>
    </row>
    <row r="704" spans="1:3" x14ac:dyDescent="0.2">
      <c r="A704" s="11">
        <v>44855.332708333335</v>
      </c>
      <c r="B704" s="6">
        <v>3.02</v>
      </c>
      <c r="C704" s="11">
        <f>WORKDAY(INT($A704),1,holidays_US!$A:$A)</f>
        <v>44858</v>
      </c>
    </row>
    <row r="705" spans="1:3" x14ac:dyDescent="0.2">
      <c r="A705" s="11">
        <v>44858.332754629628</v>
      </c>
      <c r="B705" s="6">
        <v>3.01</v>
      </c>
      <c r="C705" s="11">
        <f>WORKDAY(INT($A705),1,holidays_US!$A:$A)</f>
        <v>44859</v>
      </c>
    </row>
    <row r="706" spans="1:3" x14ac:dyDescent="0.2">
      <c r="A706" s="11">
        <v>44859.332731481481</v>
      </c>
      <c r="B706" s="6">
        <v>3.02</v>
      </c>
      <c r="C706" s="11">
        <f>WORKDAY(INT($A706),1,holidays_US!$A:$A)</f>
        <v>44860</v>
      </c>
    </row>
    <row r="707" spans="1:3" x14ac:dyDescent="0.2">
      <c r="A707" s="11">
        <v>44860.332777777781</v>
      </c>
      <c r="B707" s="6">
        <v>3.03</v>
      </c>
      <c r="C707" s="11">
        <f>WORKDAY(INT($A707),1,holidays_US!$A:$A)</f>
        <v>44861</v>
      </c>
    </row>
    <row r="708" spans="1:3" x14ac:dyDescent="0.2">
      <c r="A708" s="11">
        <v>44861.332708333335</v>
      </c>
      <c r="B708" s="6">
        <v>3.04</v>
      </c>
      <c r="C708" s="11">
        <f>WORKDAY(INT($A708),1,holidays_US!$A:$A)</f>
        <v>44862</v>
      </c>
    </row>
    <row r="709" spans="1:3" x14ac:dyDescent="0.2">
      <c r="A709" s="11">
        <v>44862.332962962966</v>
      </c>
      <c r="B709" s="6">
        <v>3.05</v>
      </c>
      <c r="C709" s="11">
        <f>WORKDAY(INT($A709),1,holidays_US!$A:$A)</f>
        <v>44865</v>
      </c>
    </row>
    <row r="710" spans="1:3" x14ac:dyDescent="0.2">
      <c r="A710" s="11">
        <v>44865.332962962966</v>
      </c>
      <c r="B710" s="6">
        <v>3.05</v>
      </c>
      <c r="C710" s="11">
        <f>WORKDAY(INT($A710),1,holidays_US!$A:$A)</f>
        <v>44866</v>
      </c>
    </row>
    <row r="711" spans="1:3" x14ac:dyDescent="0.2">
      <c r="A711" s="11">
        <v>44866.332951388889</v>
      </c>
      <c r="B711" s="6">
        <v>3.05</v>
      </c>
      <c r="C711" s="11">
        <f>WORKDAY(INT($A711),1,holidays_US!$A:$A)</f>
        <v>44867</v>
      </c>
    </row>
    <row r="712" spans="1:3" x14ac:dyDescent="0.2">
      <c r="A712" s="11">
        <v>44867.332962962966</v>
      </c>
      <c r="B712" s="6">
        <v>3.05</v>
      </c>
      <c r="C712" s="11">
        <f>WORKDAY(INT($A712),1,holidays_US!$A:$A)</f>
        <v>44868</v>
      </c>
    </row>
    <row r="713" spans="1:3" x14ac:dyDescent="0.2">
      <c r="A713" s="11">
        <v>44868.332916666666</v>
      </c>
      <c r="B713" s="6">
        <v>3.8</v>
      </c>
      <c r="C713" s="11">
        <f>WORKDAY(INT($A713),1,holidays_US!$A:$A)</f>
        <v>44869</v>
      </c>
    </row>
    <row r="714" spans="1:3" x14ac:dyDescent="0.2">
      <c r="A714" s="11">
        <v>44869.374444444446</v>
      </c>
      <c r="B714" s="6">
        <v>3.8</v>
      </c>
      <c r="C714" s="11">
        <f>WORKDAY(INT($A714),1,holidays_US!$A:$A)</f>
        <v>44872</v>
      </c>
    </row>
    <row r="715" spans="1:3" x14ac:dyDescent="0.2">
      <c r="A715" s="11">
        <v>44872.332777777781</v>
      </c>
      <c r="B715" s="6">
        <v>3.78</v>
      </c>
      <c r="C715" s="11">
        <f>WORKDAY(INT($A715),1,holidays_US!$A:$A)</f>
        <v>44873</v>
      </c>
    </row>
    <row r="716" spans="1:3" x14ac:dyDescent="0.2">
      <c r="A716" s="11">
        <v>44873.332812499997</v>
      </c>
      <c r="B716" s="6">
        <v>3.78</v>
      </c>
      <c r="C716" s="11">
        <f>WORKDAY(INT($A716),1,holidays_US!$A:$A)</f>
        <v>44874</v>
      </c>
    </row>
    <row r="717" spans="1:3" x14ac:dyDescent="0.2">
      <c r="A717" s="11">
        <v>44874.332743055558</v>
      </c>
      <c r="B717" s="6">
        <v>3.78</v>
      </c>
      <c r="C717" s="11">
        <f>WORKDAY(INT($A717),1,holidays_US!$A:$A)</f>
        <v>44875</v>
      </c>
    </row>
    <row r="718" spans="1:3" x14ac:dyDescent="0.2">
      <c r="A718" s="11">
        <v>44875.332835648151</v>
      </c>
      <c r="B718" s="6">
        <v>3.78</v>
      </c>
      <c r="C718" s="11">
        <f>WORKDAY(INT($A718),1,holidays_US!$A:$A)</f>
        <v>44879</v>
      </c>
    </row>
    <row r="719" spans="1:3" x14ac:dyDescent="0.2">
      <c r="A719" s="11">
        <v>44879.332766203705</v>
      </c>
      <c r="B719" s="6">
        <v>3.79</v>
      </c>
      <c r="C719" s="11">
        <f>WORKDAY(INT($A719),1,holidays_US!$A:$A)</f>
        <v>44880</v>
      </c>
    </row>
    <row r="720" spans="1:3" x14ac:dyDescent="0.2">
      <c r="A720" s="11">
        <v>44880.332777777781</v>
      </c>
      <c r="B720" s="6">
        <v>3.8</v>
      </c>
      <c r="C720" s="11">
        <f>WORKDAY(INT($A720),1,holidays_US!$A:$A)</f>
        <v>44881</v>
      </c>
    </row>
    <row r="721" spans="1:3" x14ac:dyDescent="0.2">
      <c r="A721" s="11">
        <v>44881.332766203705</v>
      </c>
      <c r="B721" s="6">
        <v>3.81</v>
      </c>
      <c r="C721" s="11">
        <f>WORKDAY(INT($A721),1,holidays_US!$A:$A)</f>
        <v>44882</v>
      </c>
    </row>
    <row r="722" spans="1:3" x14ac:dyDescent="0.2">
      <c r="A722" s="11">
        <v>44882.332754629628</v>
      </c>
      <c r="B722" s="6">
        <v>3.8</v>
      </c>
      <c r="C722" s="11">
        <f>WORKDAY(INT($A722),1,holidays_US!$A:$A)</f>
        <v>44883</v>
      </c>
    </row>
    <row r="723" spans="1:3" x14ac:dyDescent="0.2">
      <c r="A723" s="11">
        <v>44883.332731481481</v>
      </c>
      <c r="B723" s="6">
        <v>3.8</v>
      </c>
      <c r="C723" s="11">
        <f>WORKDAY(INT($A723),1,holidays_US!$A:$A)</f>
        <v>44886</v>
      </c>
    </row>
    <row r="724" spans="1:3" x14ac:dyDescent="0.2">
      <c r="A724" s="11">
        <v>44886.332858796297</v>
      </c>
      <c r="B724" s="6">
        <v>3.8</v>
      </c>
      <c r="C724" s="11">
        <f>WORKDAY(INT($A724),1,holidays_US!$A:$A)</f>
        <v>44887</v>
      </c>
    </row>
    <row r="725" spans="1:3" x14ac:dyDescent="0.2">
      <c r="A725" s="11">
        <v>44887.332754629628</v>
      </c>
      <c r="B725" s="6">
        <v>3.8</v>
      </c>
      <c r="C725" s="11">
        <f>WORKDAY(INT($A725),1,holidays_US!$A:$A)</f>
        <v>44888</v>
      </c>
    </row>
    <row r="726" spans="1:3" x14ac:dyDescent="0.2">
      <c r="A726" s="11">
        <v>44888.332905092589</v>
      </c>
      <c r="B726" s="6">
        <v>3.79</v>
      </c>
      <c r="C726" s="11">
        <f>WORKDAY(INT($A726),1,holidays_US!$A:$A)</f>
        <v>44890</v>
      </c>
    </row>
    <row r="727" spans="1:3" x14ac:dyDescent="0.2">
      <c r="A727" s="11">
        <v>44890.332835648151</v>
      </c>
      <c r="B727" s="6">
        <v>3.8</v>
      </c>
      <c r="C727" s="11">
        <f>WORKDAY(INT($A727),1,holidays_US!$A:$A)</f>
        <v>44893</v>
      </c>
    </row>
    <row r="728" spans="1:3" x14ac:dyDescent="0.2">
      <c r="A728" s="11">
        <v>44893.332870370374</v>
      </c>
      <c r="B728" s="6">
        <v>3.8</v>
      </c>
      <c r="C728" s="11">
        <f>WORKDAY(INT($A728),1,holidays_US!$A:$A)</f>
        <v>44894</v>
      </c>
    </row>
    <row r="729" spans="1:3" x14ac:dyDescent="0.2">
      <c r="A729" s="11">
        <v>44894.332766203705</v>
      </c>
      <c r="B729" s="6">
        <v>3.81</v>
      </c>
      <c r="C729" s="11">
        <f>WORKDAY(INT($A729),1,holidays_US!$A:$A)</f>
        <v>44895</v>
      </c>
    </row>
    <row r="730" spans="1:3" x14ac:dyDescent="0.2">
      <c r="A730" s="11">
        <v>44895.332766203705</v>
      </c>
      <c r="B730" s="6">
        <v>3.82</v>
      </c>
      <c r="C730" s="11">
        <f>WORKDAY(INT($A730),1,holidays_US!$A:$A)</f>
        <v>44896</v>
      </c>
    </row>
    <row r="731" spans="1:3" x14ac:dyDescent="0.2">
      <c r="A731" s="11">
        <v>44896.332777777781</v>
      </c>
      <c r="B731" s="6">
        <v>3.82</v>
      </c>
      <c r="C731" s="11">
        <f>WORKDAY(INT($A731),1,holidays_US!$A:$A)</f>
        <v>44897</v>
      </c>
    </row>
    <row r="732" spans="1:3" x14ac:dyDescent="0.2">
      <c r="A732" s="11">
        <v>44897.332766203705</v>
      </c>
      <c r="B732" s="6">
        <v>3.81</v>
      </c>
      <c r="C732" s="11">
        <f>WORKDAY(INT($A732),1,holidays_US!$A:$A)</f>
        <v>44900</v>
      </c>
    </row>
    <row r="733" spans="1:3" x14ac:dyDescent="0.2">
      <c r="A733" s="11">
        <v>44900.332766203705</v>
      </c>
      <c r="B733" s="6">
        <v>3.81</v>
      </c>
      <c r="C733" s="11">
        <f>WORKDAY(INT($A733),1,holidays_US!$A:$A)</f>
        <v>44901</v>
      </c>
    </row>
    <row r="734" spans="1:3" x14ac:dyDescent="0.2">
      <c r="A734" s="11">
        <v>44901.332800925928</v>
      </c>
      <c r="B734" s="6">
        <v>3.8</v>
      </c>
      <c r="C734" s="11">
        <f>WORKDAY(INT($A734),1,holidays_US!$A:$A)</f>
        <v>44902</v>
      </c>
    </row>
    <row r="735" spans="1:3" x14ac:dyDescent="0.2">
      <c r="A735" s="11">
        <v>44902.332789351851</v>
      </c>
      <c r="B735" s="6">
        <v>3.8</v>
      </c>
      <c r="C735" s="11">
        <f>WORKDAY(INT($A735),1,holidays_US!$A:$A)</f>
        <v>44903</v>
      </c>
    </row>
    <row r="736" spans="1:3" x14ac:dyDescent="0.2">
      <c r="A736" s="11">
        <v>44903.332800925928</v>
      </c>
      <c r="B736" s="6">
        <v>3.8</v>
      </c>
      <c r="C736" s="11">
        <f>WORKDAY(INT($A736),1,holidays_US!$A:$A)</f>
        <v>44904</v>
      </c>
    </row>
    <row r="737" spans="1:3" x14ac:dyDescent="0.2">
      <c r="A737" s="11">
        <v>44904.33284722222</v>
      </c>
      <c r="B737" s="6">
        <v>3.8</v>
      </c>
      <c r="C737" s="11">
        <f>WORKDAY(INT($A737),1,holidays_US!$A:$A)</f>
        <v>44907</v>
      </c>
    </row>
    <row r="738" spans="1:3" x14ac:dyDescent="0.2">
      <c r="A738" s="11">
        <v>44907.33289351852</v>
      </c>
      <c r="B738" s="6">
        <v>3.8</v>
      </c>
      <c r="C738" s="11">
        <f>WORKDAY(INT($A738),1,holidays_US!$A:$A)</f>
        <v>44908</v>
      </c>
    </row>
    <row r="739" spans="1:3" x14ac:dyDescent="0.2">
      <c r="A739" s="11">
        <v>44908.33289351852</v>
      </c>
      <c r="B739" s="6">
        <v>3.8</v>
      </c>
      <c r="C739" s="11">
        <f>WORKDAY(INT($A739),1,holidays_US!$A:$A)</f>
        <v>44909</v>
      </c>
    </row>
    <row r="740" spans="1:3" x14ac:dyDescent="0.2">
      <c r="A740" s="11">
        <v>44909.332812499997</v>
      </c>
      <c r="B740" s="6">
        <v>3.8</v>
      </c>
      <c r="C740" s="11">
        <f>WORKDAY(INT($A740),1,holidays_US!$A:$A)</f>
        <v>44910</v>
      </c>
    </row>
    <row r="741" spans="1:3" x14ac:dyDescent="0.2">
      <c r="A741" s="11">
        <v>44910.33284722222</v>
      </c>
      <c r="B741" s="6">
        <v>4.32</v>
      </c>
      <c r="C741" s="11">
        <f>WORKDAY(INT($A741),1,holidays_US!$A:$A)</f>
        <v>44911</v>
      </c>
    </row>
    <row r="742" spans="1:3" x14ac:dyDescent="0.2">
      <c r="A742" s="11">
        <v>44911.332731481481</v>
      </c>
      <c r="B742" s="6">
        <v>4.32</v>
      </c>
      <c r="C742" s="11">
        <f>WORKDAY(INT($A742),1,holidays_US!$A:$A)</f>
        <v>44914</v>
      </c>
    </row>
    <row r="743" spans="1:3" x14ac:dyDescent="0.2">
      <c r="A743" s="11">
        <v>44914.332731481481</v>
      </c>
      <c r="B743" s="6">
        <v>4.3</v>
      </c>
      <c r="C743" s="11">
        <f>WORKDAY(INT($A743),1,holidays_US!$A:$A)</f>
        <v>44915</v>
      </c>
    </row>
    <row r="744" spans="1:3" x14ac:dyDescent="0.2">
      <c r="A744" s="11">
        <v>44915.332708333335</v>
      </c>
      <c r="B744" s="6">
        <v>4.3</v>
      </c>
      <c r="C744" s="11">
        <f>WORKDAY(INT($A744),1,holidays_US!$A:$A)</f>
        <v>44916</v>
      </c>
    </row>
    <row r="745" spans="1:3" x14ac:dyDescent="0.2">
      <c r="A745" s="11">
        <v>44916.332743055558</v>
      </c>
      <c r="B745" s="6">
        <v>4.3</v>
      </c>
      <c r="C745" s="11">
        <f>WORKDAY(INT($A745),1,holidays_US!$A:$A)</f>
        <v>44917</v>
      </c>
    </row>
    <row r="746" spans="1:3" x14ac:dyDescent="0.2">
      <c r="A746" s="11">
        <v>44917.332696759258</v>
      </c>
      <c r="B746" s="6">
        <v>4.3</v>
      </c>
      <c r="C746" s="11">
        <f>WORKDAY(INT($A746),1,holidays_US!$A:$A)</f>
        <v>44918</v>
      </c>
    </row>
    <row r="747" spans="1:3" x14ac:dyDescent="0.2">
      <c r="A747" s="11">
        <v>44918.332696759258</v>
      </c>
      <c r="B747" s="6">
        <v>4.3</v>
      </c>
      <c r="C747" s="11">
        <f>WORKDAY(INT($A747),1,holidays_US!$A:$A)</f>
        <v>44922</v>
      </c>
    </row>
    <row r="748" spans="1:3" x14ac:dyDescent="0.2">
      <c r="A748" s="11">
        <v>44922.332905092589</v>
      </c>
      <c r="B748" s="6">
        <v>4.3</v>
      </c>
      <c r="C748" s="11">
        <f>WORKDAY(INT($A748),1,holidays_US!$A:$A)</f>
        <v>44923</v>
      </c>
    </row>
    <row r="749" spans="1:3" x14ac:dyDescent="0.2">
      <c r="A749" s="11">
        <v>44923.332743055558</v>
      </c>
      <c r="B749" s="6">
        <v>4.3</v>
      </c>
      <c r="C749" s="11">
        <f>WORKDAY(INT($A749),1,holidays_US!$A:$A)</f>
        <v>44924</v>
      </c>
    </row>
    <row r="750" spans="1:3" x14ac:dyDescent="0.2">
      <c r="A750" s="11">
        <v>44924.332754629628</v>
      </c>
      <c r="B750" s="6">
        <v>4.3</v>
      </c>
      <c r="C750" s="11">
        <f>WORKDAY(INT($A750),1,holidays_US!$A:$A)</f>
        <v>44925</v>
      </c>
    </row>
    <row r="751" spans="1:3" x14ac:dyDescent="0.2">
      <c r="A751" s="11">
        <v>44925.332743055558</v>
      </c>
      <c r="B751" s="6">
        <v>4.3</v>
      </c>
      <c r="C751" s="11">
        <f>WORKDAY(INT($A751),1,holidays_US!$A:$A)</f>
        <v>44929</v>
      </c>
    </row>
    <row r="752" spans="1:3" x14ac:dyDescent="0.2">
      <c r="A752" s="11">
        <v>44929.332766203705</v>
      </c>
      <c r="B752" s="6">
        <v>4.3099999999999996</v>
      </c>
      <c r="C752" s="11">
        <f>WORKDAY(INT($A752),1,holidays_US!$A:$A)</f>
        <v>44930</v>
      </c>
    </row>
    <row r="753" spans="1:3" x14ac:dyDescent="0.2">
      <c r="A753" s="11">
        <v>44930.332743055558</v>
      </c>
      <c r="B753" s="6">
        <v>4.3</v>
      </c>
      <c r="C753" s="11">
        <f>WORKDAY(INT($A753),1,holidays_US!$A:$A)</f>
        <v>44931</v>
      </c>
    </row>
    <row r="754" spans="1:3" x14ac:dyDescent="0.2">
      <c r="A754" s="11">
        <v>44931.332731481481</v>
      </c>
      <c r="B754" s="6">
        <v>4.3099999999999996</v>
      </c>
      <c r="C754" s="11">
        <f>WORKDAY(INT($A754),1,holidays_US!$A:$A)</f>
        <v>44932</v>
      </c>
    </row>
    <row r="755" spans="1:3" x14ac:dyDescent="0.2">
      <c r="A755" s="11">
        <v>44932.332743055558</v>
      </c>
      <c r="B755" s="6">
        <v>4.3099999999999996</v>
      </c>
      <c r="C755" s="11">
        <f>WORKDAY(INT($A755),1,holidays_US!$A:$A)</f>
        <v>44935</v>
      </c>
    </row>
    <row r="756" spans="1:3" x14ac:dyDescent="0.2">
      <c r="A756" s="11">
        <v>44935.332743055558</v>
      </c>
      <c r="B756" s="6">
        <v>4.3099999999999996</v>
      </c>
      <c r="C756" s="11">
        <f>WORKDAY(INT($A756),1,holidays_US!$A:$A)</f>
        <v>44936</v>
      </c>
    </row>
    <row r="757" spans="1:3" x14ac:dyDescent="0.2">
      <c r="A757" s="11">
        <v>44936.332754629628</v>
      </c>
      <c r="B757" s="6">
        <v>4.3099999999999996</v>
      </c>
      <c r="C757" s="11">
        <f>WORKDAY(INT($A757),1,holidays_US!$A:$A)</f>
        <v>44937</v>
      </c>
    </row>
    <row r="758" spans="1:3" x14ac:dyDescent="0.2">
      <c r="A758" s="11">
        <v>44937.332951388889</v>
      </c>
      <c r="B758" s="6">
        <v>4.3</v>
      </c>
      <c r="C758" s="11">
        <f>WORKDAY(INT($A758),1,holidays_US!$A:$A)</f>
        <v>44938</v>
      </c>
    </row>
    <row r="759" spans="1:3" x14ac:dyDescent="0.2">
      <c r="A759" s="11">
        <v>44938.332962962966</v>
      </c>
      <c r="B759" s="6">
        <v>4.3</v>
      </c>
      <c r="C759" s="11">
        <f>WORKDAY(INT($A759),1,holidays_US!$A:$A)</f>
        <v>44939</v>
      </c>
    </row>
    <row r="760" spans="1:3" x14ac:dyDescent="0.2">
      <c r="A760" s="11">
        <v>44939.332754629628</v>
      </c>
      <c r="B760" s="6">
        <v>4.3</v>
      </c>
      <c r="C760" s="11">
        <f>WORKDAY(INT($A760),1,holidays_US!$A:$A)</f>
        <v>44943</v>
      </c>
    </row>
    <row r="761" spans="1:3" x14ac:dyDescent="0.2">
      <c r="A761" s="11">
        <v>44943.332685185182</v>
      </c>
      <c r="B761" s="6">
        <v>4.3099999999999996</v>
      </c>
      <c r="C761" s="11">
        <f>WORKDAY(INT($A761),1,holidays_US!$A:$A)</f>
        <v>44944</v>
      </c>
    </row>
    <row r="762" spans="1:3" x14ac:dyDescent="0.2">
      <c r="A762" s="11">
        <v>44944.332754629628</v>
      </c>
      <c r="B762" s="6">
        <v>4.3</v>
      </c>
      <c r="C762" s="11">
        <f>WORKDAY(INT($A762),1,holidays_US!$A:$A)</f>
        <v>44945</v>
      </c>
    </row>
    <row r="763" spans="1:3" x14ac:dyDescent="0.2">
      <c r="A763" s="11">
        <v>44945.332731481481</v>
      </c>
      <c r="B763" s="6">
        <v>4.3099999999999996</v>
      </c>
      <c r="C763" s="11">
        <f>WORKDAY(INT($A763),1,holidays_US!$A:$A)</f>
        <v>44946</v>
      </c>
    </row>
    <row r="764" spans="1:3" x14ac:dyDescent="0.2">
      <c r="A764" s="11">
        <v>44946.332696759258</v>
      </c>
      <c r="B764" s="6">
        <v>4.3</v>
      </c>
      <c r="C764" s="11">
        <f>WORKDAY(INT($A764),1,holidays_US!$A:$A)</f>
        <v>44949</v>
      </c>
    </row>
    <row r="765" spans="1:3" x14ac:dyDescent="0.2">
      <c r="A765" s="11">
        <v>44949.332766203705</v>
      </c>
      <c r="B765" s="6">
        <v>4.3</v>
      </c>
      <c r="C765" s="11">
        <f>WORKDAY(INT($A765),1,holidays_US!$A:$A)</f>
        <v>44950</v>
      </c>
    </row>
    <row r="766" spans="1:3" x14ac:dyDescent="0.2">
      <c r="A766" s="11">
        <v>44950.332719907405</v>
      </c>
      <c r="B766" s="6">
        <v>4.3</v>
      </c>
      <c r="C766" s="11">
        <f>WORKDAY(INT($A766),1,holidays_US!$A:$A)</f>
        <v>44951</v>
      </c>
    </row>
    <row r="767" spans="1:3" x14ac:dyDescent="0.2">
      <c r="A767" s="11">
        <v>44951.332754629628</v>
      </c>
      <c r="B767" s="6">
        <v>4.3099999999999996</v>
      </c>
      <c r="C767" s="11">
        <f>WORKDAY(INT($A767),1,holidays_US!$A:$A)</f>
        <v>44952</v>
      </c>
    </row>
    <row r="768" spans="1:3" x14ac:dyDescent="0.2">
      <c r="A768" s="11">
        <v>44952.332731481481</v>
      </c>
      <c r="B768" s="6">
        <v>4.3</v>
      </c>
      <c r="C768" s="11">
        <f>WORKDAY(INT($A768),1,holidays_US!$A:$A)</f>
        <v>44953</v>
      </c>
    </row>
    <row r="769" spans="1:3" x14ac:dyDescent="0.2">
      <c r="A769" s="11">
        <v>44953.332731481481</v>
      </c>
      <c r="B769" s="6">
        <v>4.3</v>
      </c>
      <c r="C769" s="11">
        <f>WORKDAY(INT($A769),1,holidays_US!$A:$A)</f>
        <v>44956</v>
      </c>
    </row>
    <row r="770" spans="1:3" x14ac:dyDescent="0.2">
      <c r="A770" s="11">
        <v>44956.332719907405</v>
      </c>
      <c r="B770" s="6">
        <v>4.3</v>
      </c>
      <c r="C770" s="11">
        <f>WORKDAY(INT($A770),1,holidays_US!$A:$A)</f>
        <v>44957</v>
      </c>
    </row>
    <row r="771" spans="1:3" x14ac:dyDescent="0.2">
      <c r="A771" s="11">
        <v>44957.332719907405</v>
      </c>
      <c r="B771" s="6">
        <v>4.3099999999999996</v>
      </c>
      <c r="C771" s="11">
        <f>WORKDAY(INT($A771),1,holidays_US!$A:$A)</f>
        <v>44958</v>
      </c>
    </row>
    <row r="772" spans="1:3" x14ac:dyDescent="0.2">
      <c r="A772" s="11">
        <v>44958.332754629628</v>
      </c>
      <c r="B772" s="6">
        <v>4.3099999999999996</v>
      </c>
      <c r="C772" s="11">
        <f>WORKDAY(INT($A772),1,holidays_US!$A:$A)</f>
        <v>44959</v>
      </c>
    </row>
    <row r="773" spans="1:3" x14ac:dyDescent="0.2">
      <c r="A773" s="11">
        <v>44959.332743055558</v>
      </c>
      <c r="B773" s="6">
        <v>4.5599999999999996</v>
      </c>
      <c r="C773" s="11">
        <f>WORKDAY(INT($A773),1,holidays_US!$A:$A)</f>
        <v>44960</v>
      </c>
    </row>
    <row r="774" spans="1:3" x14ac:dyDescent="0.2">
      <c r="A774" s="11">
        <v>44960.332916666666</v>
      </c>
      <c r="B774" s="6">
        <v>4.55</v>
      </c>
      <c r="C774" s="11">
        <f>WORKDAY(INT($A774),1,holidays_US!$A:$A)</f>
        <v>44963</v>
      </c>
    </row>
    <row r="775" spans="1:3" x14ac:dyDescent="0.2">
      <c r="A775" s="11">
        <v>44963.332986111112</v>
      </c>
      <c r="B775" s="6">
        <v>4.55</v>
      </c>
      <c r="C775" s="11">
        <f>WORKDAY(INT($A775),1,holidays_US!$A:$A)</f>
        <v>44964</v>
      </c>
    </row>
    <row r="776" spans="1:3" x14ac:dyDescent="0.2">
      <c r="A776" s="11">
        <v>44964.332905092589</v>
      </c>
      <c r="B776" s="6">
        <v>4.55</v>
      </c>
      <c r="C776" s="11">
        <f>WORKDAY(INT($A776),1,holidays_US!$A:$A)</f>
        <v>44965</v>
      </c>
    </row>
    <row r="777" spans="1:3" x14ac:dyDescent="0.2">
      <c r="A777" s="11">
        <v>44965.333043981482</v>
      </c>
      <c r="B777" s="6">
        <v>4.55</v>
      </c>
      <c r="C777" s="11">
        <f>WORKDAY(INT($A777),1,holidays_US!$A:$A)</f>
        <v>44966</v>
      </c>
    </row>
    <row r="778" spans="1:3" x14ac:dyDescent="0.2">
      <c r="A778" s="11">
        <v>44966.332928240743</v>
      </c>
      <c r="B778" s="6">
        <v>4.55</v>
      </c>
      <c r="C778" s="11">
        <f>WORKDAY(INT($A778),1,holidays_US!$A:$A)</f>
        <v>44967</v>
      </c>
    </row>
    <row r="779" spans="1:3" x14ac:dyDescent="0.2">
      <c r="A779" s="11">
        <v>44967.33284722222</v>
      </c>
      <c r="B779" s="6">
        <v>4.55</v>
      </c>
      <c r="C779" s="11">
        <f>WORKDAY(INT($A779),1,holidays_US!$A:$A)</f>
        <v>44970</v>
      </c>
    </row>
    <row r="780" spans="1:3" x14ac:dyDescent="0.2">
      <c r="A780" s="11">
        <v>44970.332951388889</v>
      </c>
      <c r="B780" s="6">
        <v>4.55</v>
      </c>
      <c r="C780" s="11">
        <f>WORKDAY(INT($A780),1,holidays_US!$A:$A)</f>
        <v>44971</v>
      </c>
    </row>
    <row r="781" spans="1:3" x14ac:dyDescent="0.2">
      <c r="A781" s="11">
        <v>44971.332962962966</v>
      </c>
      <c r="B781" s="6">
        <v>4.55</v>
      </c>
      <c r="C781" s="11">
        <f>WORKDAY(INT($A781),1,holidays_US!$A:$A)</f>
        <v>44972</v>
      </c>
    </row>
    <row r="782" spans="1:3" x14ac:dyDescent="0.2">
      <c r="A782" s="11">
        <v>44972.332974537036</v>
      </c>
      <c r="B782" s="6">
        <v>4.55</v>
      </c>
      <c r="C782" s="11">
        <f>WORKDAY(INT($A782),1,holidays_US!$A:$A)</f>
        <v>44973</v>
      </c>
    </row>
    <row r="783" spans="1:3" x14ac:dyDescent="0.2">
      <c r="A783" s="11">
        <v>44973.33289351852</v>
      </c>
      <c r="B783" s="6">
        <v>4.55</v>
      </c>
      <c r="C783" s="11">
        <f>WORKDAY(INT($A783),1,holidays_US!$A:$A)</f>
        <v>44974</v>
      </c>
    </row>
    <row r="784" spans="1:3" x14ac:dyDescent="0.2">
      <c r="A784" s="11">
        <v>44974.332951388889</v>
      </c>
      <c r="B784" s="6">
        <v>4.55</v>
      </c>
      <c r="C784" s="11">
        <f>WORKDAY(INT($A784),1,holidays_US!$A:$A)</f>
        <v>44978</v>
      </c>
    </row>
    <row r="785" spans="1:3" x14ac:dyDescent="0.2">
      <c r="A785" s="11">
        <v>44978.332928240743</v>
      </c>
      <c r="B785" s="6">
        <v>4.55</v>
      </c>
      <c r="C785" s="11">
        <f>WORKDAY(INT($A785),1,holidays_US!$A:$A)</f>
        <v>44979</v>
      </c>
    </row>
    <row r="786" spans="1:3" x14ac:dyDescent="0.2">
      <c r="A786" s="11">
        <v>44979.333055555559</v>
      </c>
      <c r="B786" s="6">
        <v>4.55</v>
      </c>
      <c r="C786" s="11">
        <f>WORKDAY(INT($A786),1,holidays_US!$A:$A)</f>
        <v>44980</v>
      </c>
    </row>
    <row r="787" spans="1:3" x14ac:dyDescent="0.2">
      <c r="A787" s="11">
        <v>44980.333090277774</v>
      </c>
      <c r="B787" s="6">
        <v>4.55</v>
      </c>
      <c r="C787" s="11">
        <f>WORKDAY(INT($A787),1,holidays_US!$A:$A)</f>
        <v>44981</v>
      </c>
    </row>
    <row r="788" spans="1:3" x14ac:dyDescent="0.2">
      <c r="A788" s="11">
        <v>44981.332951388889</v>
      </c>
      <c r="B788" s="6">
        <v>4.55</v>
      </c>
      <c r="C788" s="11">
        <f>WORKDAY(INT($A788),1,holidays_US!$A:$A)</f>
        <v>44984</v>
      </c>
    </row>
    <row r="789" spans="1:3" x14ac:dyDescent="0.2">
      <c r="A789" s="11">
        <v>44984.332962962966</v>
      </c>
      <c r="B789" s="6">
        <v>4.55</v>
      </c>
      <c r="C789" s="11">
        <f>WORKDAY(INT($A789),1,holidays_US!$A:$A)</f>
        <v>44985</v>
      </c>
    </row>
    <row r="790" spans="1:3" x14ac:dyDescent="0.2">
      <c r="A790" s="11">
        <v>44985.332777777781</v>
      </c>
      <c r="B790" s="6">
        <v>4.55</v>
      </c>
      <c r="C790" s="11">
        <f>WORKDAY(INT($A790),1,holidays_US!$A:$A)</f>
        <v>44986</v>
      </c>
    </row>
    <row r="791" spans="1:3" x14ac:dyDescent="0.2">
      <c r="A791" s="11">
        <v>44986.332743055558</v>
      </c>
      <c r="B791" s="6">
        <v>4.55</v>
      </c>
      <c r="C791" s="11">
        <f>WORKDAY(INT($A791),1,holidays_US!$A:$A)</f>
        <v>44987</v>
      </c>
    </row>
    <row r="792" spans="1:3" x14ac:dyDescent="0.2">
      <c r="A792" s="11">
        <v>44987.332835648151</v>
      </c>
      <c r="B792" s="6">
        <v>4.55</v>
      </c>
      <c r="C792" s="11">
        <f>WORKDAY(INT($A792),1,holidays_US!$A:$A)</f>
        <v>44988</v>
      </c>
    </row>
    <row r="793" spans="1:3" x14ac:dyDescent="0.2">
      <c r="A793" s="11">
        <v>44988.332858796297</v>
      </c>
      <c r="B793" s="6">
        <v>4.55</v>
      </c>
      <c r="C793" s="11">
        <f>WORKDAY(INT($A793),1,holidays_US!$A:$A)</f>
        <v>44991</v>
      </c>
    </row>
    <row r="794" spans="1:3" x14ac:dyDescent="0.2">
      <c r="A794" s="11">
        <v>44991.332986111112</v>
      </c>
      <c r="B794" s="6">
        <v>4.55</v>
      </c>
      <c r="C794" s="11">
        <f>WORKDAY(INT($A794),1,holidays_US!$A:$A)</f>
        <v>44992</v>
      </c>
    </row>
    <row r="795" spans="1:3" x14ac:dyDescent="0.2">
      <c r="A795" s="11">
        <v>44992.332916666666</v>
      </c>
      <c r="B795" s="6">
        <v>4.55</v>
      </c>
      <c r="C795" s="11">
        <f>WORKDAY(INT($A795),1,holidays_US!$A:$A)</f>
        <v>44993</v>
      </c>
    </row>
    <row r="796" spans="1:3" x14ac:dyDescent="0.2">
      <c r="A796" s="11">
        <v>44993.332881944443</v>
      </c>
      <c r="B796" s="6">
        <v>4.55</v>
      </c>
      <c r="C796" s="11">
        <f>WORKDAY(INT($A796),1,holidays_US!$A:$A)</f>
        <v>44994</v>
      </c>
    </row>
    <row r="797" spans="1:3" x14ac:dyDescent="0.2">
      <c r="A797" s="11">
        <v>44994.332824074074</v>
      </c>
      <c r="B797" s="6">
        <v>4.55</v>
      </c>
      <c r="C797" s="11">
        <f>WORKDAY(INT($A797),1,holidays_US!$A:$A)</f>
        <v>44995</v>
      </c>
    </row>
    <row r="798" spans="1:3" x14ac:dyDescent="0.2">
      <c r="A798" s="11">
        <v>44995.291087962964</v>
      </c>
      <c r="B798" s="6">
        <v>4.55</v>
      </c>
      <c r="C798" s="11">
        <f>WORKDAY(INT($A798),1,holidays_US!$A:$A)</f>
        <v>44998</v>
      </c>
    </row>
    <row r="799" spans="1:3" x14ac:dyDescent="0.2">
      <c r="A799" s="11">
        <v>44998.332777777781</v>
      </c>
      <c r="B799" s="6">
        <v>4.55</v>
      </c>
      <c r="C799" s="11">
        <f>WORKDAY(INT($A799),1,holidays_US!$A:$A)</f>
        <v>44999</v>
      </c>
    </row>
    <row r="800" spans="1:3" x14ac:dyDescent="0.2">
      <c r="A800" s="11">
        <v>44999.332824074074</v>
      </c>
      <c r="B800" s="6">
        <v>4.55</v>
      </c>
      <c r="C800" s="11">
        <f>WORKDAY(INT($A800),1,holidays_US!$A:$A)</f>
        <v>45000</v>
      </c>
    </row>
    <row r="801" spans="1:3" x14ac:dyDescent="0.2">
      <c r="A801" s="11">
        <v>45000.332870370374</v>
      </c>
      <c r="B801" s="6">
        <v>4.58</v>
      </c>
      <c r="C801" s="11">
        <f>WORKDAY(INT($A801),1,holidays_US!$A:$A)</f>
        <v>45001</v>
      </c>
    </row>
    <row r="802" spans="1:3" x14ac:dyDescent="0.2">
      <c r="A802" s="11">
        <v>45001.332835648151</v>
      </c>
      <c r="B802" s="6">
        <v>4.57</v>
      </c>
      <c r="C802" s="11">
        <f>WORKDAY(INT($A802),1,holidays_US!$A:$A)</f>
        <v>45002</v>
      </c>
    </row>
    <row r="803" spans="1:3" x14ac:dyDescent="0.2">
      <c r="A803" s="11">
        <v>45002.332951388889</v>
      </c>
      <c r="B803" s="6">
        <v>4.55</v>
      </c>
      <c r="C803" s="11">
        <f>WORKDAY(INT($A803),1,holidays_US!$A:$A)</f>
        <v>45005</v>
      </c>
    </row>
    <row r="804" spans="1:3" x14ac:dyDescent="0.2">
      <c r="A804" s="11">
        <v>45005.332939814813</v>
      </c>
      <c r="B804" s="6">
        <v>4.55</v>
      </c>
      <c r="C804" s="11">
        <f>WORKDAY(INT($A804),1,holidays_US!$A:$A)</f>
        <v>45006</v>
      </c>
    </row>
    <row r="805" spans="1:3" x14ac:dyDescent="0.2">
      <c r="A805" s="11">
        <v>45006.332824074074</v>
      </c>
      <c r="B805" s="6">
        <v>4.55</v>
      </c>
      <c r="C805" s="11">
        <f>WORKDAY(INT($A805),1,holidays_US!$A:$A)</f>
        <v>45007</v>
      </c>
    </row>
    <row r="806" spans="1:3" x14ac:dyDescent="0.2">
      <c r="A806" s="11">
        <v>45007.33289351852</v>
      </c>
      <c r="B806" s="6">
        <v>4.55</v>
      </c>
      <c r="C806" s="11">
        <f>WORKDAY(INT($A806),1,holidays_US!$A:$A)</f>
        <v>45008</v>
      </c>
    </row>
    <row r="807" spans="1:3" x14ac:dyDescent="0.2">
      <c r="A807" s="11">
        <v>45008.33284722222</v>
      </c>
      <c r="B807" s="6">
        <v>4.8</v>
      </c>
      <c r="C807" s="11">
        <f>WORKDAY(INT($A807),1,holidays_US!$A:$A)</f>
        <v>45009</v>
      </c>
    </row>
    <row r="808" spans="1:3" x14ac:dyDescent="0.2">
      <c r="A808" s="11">
        <v>45009.332754629628</v>
      </c>
      <c r="B808" s="6">
        <v>4.8</v>
      </c>
      <c r="C808" s="11">
        <f>WORKDAY(INT($A808),1,holidays_US!$A:$A)</f>
        <v>45012</v>
      </c>
    </row>
    <row r="809" spans="1:3" x14ac:dyDescent="0.2">
      <c r="A809" s="11">
        <v>45012.332743055558</v>
      </c>
      <c r="B809" s="6">
        <v>4.8099999999999996</v>
      </c>
      <c r="C809" s="11">
        <f>WORKDAY(INT($A809),1,holidays_US!$A:$A)</f>
        <v>45013</v>
      </c>
    </row>
    <row r="810" spans="1:3" x14ac:dyDescent="0.2">
      <c r="A810" s="11">
        <v>45013.332777777781</v>
      </c>
      <c r="B810" s="6">
        <v>4.84</v>
      </c>
      <c r="C810" s="11">
        <f>WORKDAY(INT($A810),1,holidays_US!$A:$A)</f>
        <v>45014</v>
      </c>
    </row>
    <row r="811" spans="1:3" x14ac:dyDescent="0.2">
      <c r="A811" s="11">
        <v>45014.332870370374</v>
      </c>
      <c r="B811" s="6">
        <v>4.83</v>
      </c>
      <c r="C811" s="11">
        <f>WORKDAY(INT($A811),1,holidays_US!$A:$A)</f>
        <v>45015</v>
      </c>
    </row>
    <row r="812" spans="1:3" x14ac:dyDescent="0.2">
      <c r="A812" s="11">
        <v>45015.332812499997</v>
      </c>
      <c r="B812" s="6">
        <v>4.82</v>
      </c>
      <c r="C812" s="11">
        <f>WORKDAY(INT($A812),1,holidays_US!$A:$A)</f>
        <v>45016</v>
      </c>
    </row>
    <row r="813" spans="1:3" x14ac:dyDescent="0.2">
      <c r="A813" s="11">
        <v>45016.332824074074</v>
      </c>
      <c r="B813" s="6">
        <v>4.87</v>
      </c>
      <c r="C813" s="11">
        <f>WORKDAY(INT($A813),1,holidays_US!$A:$A)</f>
        <v>45019</v>
      </c>
    </row>
    <row r="814" spans="1:3" x14ac:dyDescent="0.2">
      <c r="A814" s="11">
        <v>45019.332789351851</v>
      </c>
      <c r="B814" s="6">
        <v>4.84</v>
      </c>
      <c r="C814" s="11">
        <f>WORKDAY(INT($A814),1,holidays_US!$A:$A)</f>
        <v>45020</v>
      </c>
    </row>
    <row r="815" spans="1:3" x14ac:dyDescent="0.2">
      <c r="A815" s="11">
        <v>45020.332870370374</v>
      </c>
      <c r="B815" s="6">
        <v>4.83</v>
      </c>
      <c r="C815" s="11">
        <f>WORKDAY(INT($A815),1,holidays_US!$A:$A)</f>
        <v>45021</v>
      </c>
    </row>
    <row r="816" spans="1:3" x14ac:dyDescent="0.2">
      <c r="A816" s="11">
        <v>45021.332858796297</v>
      </c>
      <c r="B816" s="6">
        <v>4.8099999999999996</v>
      </c>
      <c r="C816" s="11">
        <f>WORKDAY(INT($A816),1,holidays_US!$A:$A)</f>
        <v>45022</v>
      </c>
    </row>
    <row r="817" spans="1:3" x14ac:dyDescent="0.2">
      <c r="A817" s="11">
        <v>45022.332962962966</v>
      </c>
      <c r="B817" s="6">
        <v>4.8099999999999996</v>
      </c>
      <c r="C817" s="11">
        <f>WORKDAY(INT($A817),1,holidays_US!$A:$A)</f>
        <v>45023</v>
      </c>
    </row>
    <row r="818" spans="1:3" x14ac:dyDescent="0.2">
      <c r="A818" s="11">
        <v>45026.333055555559</v>
      </c>
      <c r="B818" s="6">
        <v>4.8099999999999996</v>
      </c>
      <c r="C818" s="11">
        <f>WORKDAY(INT($A818),1,holidays_US!$A:$A)</f>
        <v>45027</v>
      </c>
    </row>
    <row r="819" spans="1:3" x14ac:dyDescent="0.2">
      <c r="A819" s="11">
        <v>45027.332939814813</v>
      </c>
      <c r="B819" s="6">
        <v>4.8</v>
      </c>
      <c r="C819" s="11">
        <f>WORKDAY(INT($A819),1,holidays_US!$A:$A)</f>
        <v>45028</v>
      </c>
    </row>
    <row r="820" spans="1:3" x14ac:dyDescent="0.2">
      <c r="A820" s="11">
        <v>45028.332928240743</v>
      </c>
      <c r="B820" s="6">
        <v>4.8</v>
      </c>
      <c r="C820" s="11">
        <f>WORKDAY(INT($A820),1,holidays_US!$A:$A)</f>
        <v>45029</v>
      </c>
    </row>
    <row r="821" spans="1:3" x14ac:dyDescent="0.2">
      <c r="A821" s="11">
        <v>45029.332928240743</v>
      </c>
      <c r="B821" s="6">
        <v>4.8</v>
      </c>
      <c r="C821" s="11">
        <f>WORKDAY(INT($A821),1,holidays_US!$A:$A)</f>
        <v>45030</v>
      </c>
    </row>
    <row r="822" spans="1:3" x14ac:dyDescent="0.2">
      <c r="A822" s="11">
        <v>45030.332824074074</v>
      </c>
      <c r="B822" s="6">
        <v>4.8</v>
      </c>
      <c r="C822" s="11">
        <f>WORKDAY(INT($A822),1,holidays_US!$A:$A)</f>
        <v>45033</v>
      </c>
    </row>
    <row r="823" spans="1:3" x14ac:dyDescent="0.2">
      <c r="A823" s="11">
        <v>45033.332743055558</v>
      </c>
      <c r="B823" s="6">
        <v>4.8</v>
      </c>
      <c r="C823" s="11">
        <f>WORKDAY(INT($A823),1,holidays_US!$A:$A)</f>
        <v>45034</v>
      </c>
    </row>
    <row r="824" spans="1:3" x14ac:dyDescent="0.2">
      <c r="A824" s="11">
        <v>45034.332754629628</v>
      </c>
      <c r="B824" s="6">
        <v>4.8</v>
      </c>
      <c r="C824" s="11">
        <f>WORKDAY(INT($A824),1,holidays_US!$A:$A)</f>
        <v>45035</v>
      </c>
    </row>
    <row r="825" spans="1:3" x14ac:dyDescent="0.2">
      <c r="A825" s="11">
        <v>45035.332812499997</v>
      </c>
      <c r="B825" s="6">
        <v>4.8</v>
      </c>
      <c r="C825" s="11">
        <f>WORKDAY(INT($A825),1,holidays_US!$A:$A)</f>
        <v>45036</v>
      </c>
    </row>
    <row r="826" spans="1:3" x14ac:dyDescent="0.2">
      <c r="A826" s="11">
        <v>45036.333136574074</v>
      </c>
      <c r="B826" s="6">
        <v>4.8</v>
      </c>
      <c r="C826" s="11">
        <f>WORKDAY(INT($A826),1,holidays_US!$A:$A)</f>
        <v>45037</v>
      </c>
    </row>
    <row r="827" spans="1:3" x14ac:dyDescent="0.2">
      <c r="A827" s="11">
        <v>45037.332777777781</v>
      </c>
      <c r="B827" s="6">
        <v>4.8</v>
      </c>
      <c r="C827" s="11">
        <f>WORKDAY(INT($A827),1,holidays_US!$A:$A)</f>
        <v>45040</v>
      </c>
    </row>
    <row r="828" spans="1:3" x14ac:dyDescent="0.2">
      <c r="A828" s="11">
        <v>45040.332754629628</v>
      </c>
      <c r="B828" s="6">
        <v>4.8</v>
      </c>
      <c r="C828" s="11">
        <f>WORKDAY(INT($A828),1,holidays_US!$A:$A)</f>
        <v>45041</v>
      </c>
    </row>
    <row r="829" spans="1:3" x14ac:dyDescent="0.2">
      <c r="A829" s="11">
        <v>45041.332754629628</v>
      </c>
      <c r="B829" s="6">
        <v>4.8</v>
      </c>
      <c r="C829" s="11">
        <f>WORKDAY(INT($A829),1,holidays_US!$A:$A)</f>
        <v>45042</v>
      </c>
    </row>
    <row r="830" spans="1:3" x14ac:dyDescent="0.2">
      <c r="A830" s="11">
        <v>45042.332789351851</v>
      </c>
      <c r="B830" s="6">
        <v>4.8</v>
      </c>
      <c r="C830" s="11">
        <f>WORKDAY(INT($A830),1,holidays_US!$A:$A)</f>
        <v>45043</v>
      </c>
    </row>
    <row r="831" spans="1:3" x14ac:dyDescent="0.2">
      <c r="A831" s="11">
        <v>45043.332743055558</v>
      </c>
      <c r="B831" s="6">
        <v>4.8099999999999996</v>
      </c>
      <c r="C831" s="11">
        <f>WORKDAY(INT($A831),1,holidays_US!$A:$A)</f>
        <v>45044</v>
      </c>
    </row>
    <row r="832" spans="1:3" x14ac:dyDescent="0.2">
      <c r="A832" s="11">
        <v>45044.332939814813</v>
      </c>
      <c r="B832" s="6">
        <v>4.8099999999999996</v>
      </c>
      <c r="C832" s="11">
        <f>WORKDAY(INT($A832),1,holidays_US!$A:$A)</f>
        <v>45047</v>
      </c>
    </row>
    <row r="833" spans="1:3" x14ac:dyDescent="0.2">
      <c r="A833" s="11">
        <v>45047.332928240743</v>
      </c>
      <c r="B833" s="6">
        <v>4.8099999999999996</v>
      </c>
      <c r="C833" s="11">
        <f>WORKDAY(INT($A833),1,holidays_US!$A:$A)</f>
        <v>45048</v>
      </c>
    </row>
    <row r="834" spans="1:3" x14ac:dyDescent="0.2">
      <c r="A834" s="11">
        <v>45048.332939814813</v>
      </c>
      <c r="B834" s="6">
        <v>4.8099999999999996</v>
      </c>
      <c r="C834" s="11">
        <f>WORKDAY(INT($A834),1,holidays_US!$A:$A)</f>
        <v>45049</v>
      </c>
    </row>
    <row r="835" spans="1:3" x14ac:dyDescent="0.2">
      <c r="A835" s="11">
        <v>45049.332881944443</v>
      </c>
      <c r="B835" s="6">
        <v>4.8099999999999996</v>
      </c>
      <c r="C835" s="11">
        <f>WORKDAY(INT($A835),1,holidays_US!$A:$A)</f>
        <v>45050</v>
      </c>
    </row>
    <row r="836" spans="1:3" x14ac:dyDescent="0.2">
      <c r="A836" s="11">
        <v>45050.332905092589</v>
      </c>
      <c r="B836" s="6">
        <v>5.0599999999999996</v>
      </c>
      <c r="C836" s="11">
        <f>WORKDAY(INT($A836),1,holidays_US!$A:$A)</f>
        <v>45051</v>
      </c>
    </row>
    <row r="837" spans="1:3" x14ac:dyDescent="0.2">
      <c r="A837" s="11">
        <v>45051.332766203705</v>
      </c>
      <c r="B837" s="6">
        <v>5.0599999999999996</v>
      </c>
      <c r="C837" s="11">
        <f>WORKDAY(INT($A837),1,holidays_US!$A:$A)</f>
        <v>45054</v>
      </c>
    </row>
    <row r="838" spans="1:3" x14ac:dyDescent="0.2">
      <c r="A838" s="11">
        <v>45054.332731481481</v>
      </c>
      <c r="B838" s="6">
        <v>5.0599999999999996</v>
      </c>
      <c r="C838" s="11">
        <f>WORKDAY(INT($A838),1,holidays_US!$A:$A)</f>
        <v>45055</v>
      </c>
    </row>
    <row r="839" spans="1:3" x14ac:dyDescent="0.2">
      <c r="A839" s="11">
        <v>45055.332777777781</v>
      </c>
      <c r="B839" s="6">
        <v>5.0599999999999996</v>
      </c>
      <c r="C839" s="11">
        <f>WORKDAY(INT($A839),1,holidays_US!$A:$A)</f>
        <v>45056</v>
      </c>
    </row>
    <row r="840" spans="1:3" x14ac:dyDescent="0.2">
      <c r="A840" s="11">
        <v>45056.332708333335</v>
      </c>
      <c r="B840" s="6">
        <v>5.0599999999999996</v>
      </c>
      <c r="C840" s="11">
        <f>WORKDAY(INT($A840),1,holidays_US!$A:$A)</f>
        <v>45057</v>
      </c>
    </row>
    <row r="841" spans="1:3" x14ac:dyDescent="0.2">
      <c r="A841" s="11">
        <v>45057.332743055558</v>
      </c>
      <c r="B841" s="6">
        <v>5.05</v>
      </c>
      <c r="C841" s="11">
        <f>WORKDAY(INT($A841),1,holidays_US!$A:$A)</f>
        <v>45058</v>
      </c>
    </row>
    <row r="842" spans="1:3" x14ac:dyDescent="0.2">
      <c r="A842" s="11">
        <v>45058.332905092589</v>
      </c>
      <c r="B842" s="6">
        <v>5.05</v>
      </c>
      <c r="C842" s="11">
        <f>WORKDAY(INT($A842),1,holidays_US!$A:$A)</f>
        <v>45061</v>
      </c>
    </row>
    <row r="843" spans="1:3" x14ac:dyDescent="0.2">
      <c r="A843" s="11">
        <v>45061.332870370374</v>
      </c>
      <c r="B843" s="6">
        <v>5.0599999999999996</v>
      </c>
      <c r="C843" s="11">
        <f>WORKDAY(INT($A843),1,holidays_US!$A:$A)</f>
        <v>45062</v>
      </c>
    </row>
    <row r="844" spans="1:3" x14ac:dyDescent="0.2">
      <c r="A844" s="11">
        <v>45062.33284722222</v>
      </c>
      <c r="B844" s="6">
        <v>5.05</v>
      </c>
      <c r="C844" s="11">
        <f>WORKDAY(INT($A844),1,holidays_US!$A:$A)</f>
        <v>45063</v>
      </c>
    </row>
    <row r="845" spans="1:3" x14ac:dyDescent="0.2">
      <c r="A845" s="11">
        <v>45063.332824074074</v>
      </c>
      <c r="B845" s="6">
        <v>5.05</v>
      </c>
      <c r="C845" s="11">
        <f>WORKDAY(INT($A845),1,holidays_US!$A:$A)</f>
        <v>45064</v>
      </c>
    </row>
    <row r="846" spans="1:3" x14ac:dyDescent="0.2">
      <c r="A846" s="11">
        <v>45064.332766203705</v>
      </c>
      <c r="B846" s="6">
        <v>5.05</v>
      </c>
      <c r="C846" s="11">
        <f>WORKDAY(INT($A846),1,holidays_US!$A:$A)</f>
        <v>45065</v>
      </c>
    </row>
    <row r="847" spans="1:3" x14ac:dyDescent="0.2">
      <c r="A847" s="11">
        <v>45065.333020833335</v>
      </c>
      <c r="B847" s="6">
        <v>5.05</v>
      </c>
      <c r="C847" s="11">
        <f>WORKDAY(INT($A847),1,holidays_US!$A:$A)</f>
        <v>45068</v>
      </c>
    </row>
    <row r="848" spans="1:3" x14ac:dyDescent="0.2">
      <c r="A848" s="11">
        <v>45068.332905092589</v>
      </c>
      <c r="B848" s="6">
        <v>5.05</v>
      </c>
      <c r="C848" s="11">
        <f>WORKDAY(INT($A848),1,holidays_US!$A:$A)</f>
        <v>45069</v>
      </c>
    </row>
    <row r="849" spans="1:3" x14ac:dyDescent="0.2">
      <c r="A849" s="11">
        <v>45069.33284722222</v>
      </c>
      <c r="B849" s="6">
        <v>5.05</v>
      </c>
      <c r="C849" s="11">
        <f>WORKDAY(INT($A849),1,holidays_US!$A:$A)</f>
        <v>45070</v>
      </c>
    </row>
    <row r="850" spans="1:3" x14ac:dyDescent="0.2">
      <c r="A850" s="11">
        <v>45070.333055555559</v>
      </c>
      <c r="B850" s="6">
        <v>5.05</v>
      </c>
      <c r="C850" s="11">
        <f>WORKDAY(INT($A850),1,holidays_US!$A:$A)</f>
        <v>45071</v>
      </c>
    </row>
    <row r="851" spans="1:3" x14ac:dyDescent="0.2">
      <c r="A851" s="11">
        <v>45071.332939814813</v>
      </c>
      <c r="B851" s="6">
        <v>5.0599999999999996</v>
      </c>
      <c r="C851" s="11">
        <f>WORKDAY(INT($A851),1,holidays_US!$A:$A)</f>
        <v>45072</v>
      </c>
    </row>
    <row r="852" spans="1:3" x14ac:dyDescent="0.2">
      <c r="A852" s="11">
        <v>45072.332766203705</v>
      </c>
      <c r="B852" s="6">
        <v>5.0599999999999996</v>
      </c>
      <c r="C852" s="11">
        <f>WORKDAY(INT($A852),1,holidays_US!$A:$A)</f>
        <v>45076</v>
      </c>
    </row>
    <row r="853" spans="1:3" x14ac:dyDescent="0.2">
      <c r="A853" s="11">
        <v>45076.332777777781</v>
      </c>
      <c r="B853" s="6">
        <v>5.0599999999999996</v>
      </c>
      <c r="C853" s="11">
        <f>WORKDAY(INT($A853),1,holidays_US!$A:$A)</f>
        <v>45077</v>
      </c>
    </row>
    <row r="854" spans="1:3" x14ac:dyDescent="0.2">
      <c r="A854" s="11">
        <v>45077.332800925928</v>
      </c>
      <c r="B854" s="6">
        <v>5.08</v>
      </c>
      <c r="C854" s="11">
        <f>WORKDAY(INT($A854),1,holidays_US!$A:$A)</f>
        <v>45078</v>
      </c>
    </row>
    <row r="855" spans="1:3" x14ac:dyDescent="0.2">
      <c r="A855" s="11">
        <v>45078.332824074074</v>
      </c>
      <c r="B855" s="6">
        <v>5.08</v>
      </c>
      <c r="C855" s="11">
        <f>WORKDAY(INT($A855),1,holidays_US!$A:$A)</f>
        <v>45079</v>
      </c>
    </row>
    <row r="856" spans="1:3" x14ac:dyDescent="0.2">
      <c r="A856" s="11">
        <v>45079.33289351852</v>
      </c>
      <c r="B856" s="6">
        <v>5.07</v>
      </c>
      <c r="C856" s="11">
        <f>WORKDAY(INT($A856),1,holidays_US!$A:$A)</f>
        <v>45082</v>
      </c>
    </row>
    <row r="857" spans="1:3" x14ac:dyDescent="0.2">
      <c r="A857" s="11">
        <v>45082.332754629628</v>
      </c>
      <c r="B857" s="6">
        <v>5.0599999999999996</v>
      </c>
      <c r="C857" s="11">
        <f>WORKDAY(INT($A857),1,holidays_US!$A:$A)</f>
        <v>45083</v>
      </c>
    </row>
    <row r="858" spans="1:3" x14ac:dyDescent="0.2">
      <c r="A858" s="11">
        <v>45083.332881944443</v>
      </c>
      <c r="B858" s="6">
        <v>5.05</v>
      </c>
      <c r="C858" s="11">
        <f>WORKDAY(INT($A858),1,holidays_US!$A:$A)</f>
        <v>45084</v>
      </c>
    </row>
    <row r="859" spans="1:3" x14ac:dyDescent="0.2">
      <c r="A859" s="11">
        <v>45084.332824074074</v>
      </c>
      <c r="B859" s="6">
        <v>5.05</v>
      </c>
      <c r="C859" s="11">
        <f>WORKDAY(INT($A859),1,holidays_US!$A:$A)</f>
        <v>45085</v>
      </c>
    </row>
    <row r="860" spans="1:3" x14ac:dyDescent="0.2">
      <c r="A860" s="11">
        <v>45085.33284722222</v>
      </c>
      <c r="B860" s="6">
        <v>5.05</v>
      </c>
      <c r="C860" s="11">
        <f>WORKDAY(INT($A860),1,holidays_US!$A:$A)</f>
        <v>45086</v>
      </c>
    </row>
    <row r="861" spans="1:3" x14ac:dyDescent="0.2">
      <c r="A861" s="11">
        <v>45086.332870370374</v>
      </c>
      <c r="B861" s="6">
        <v>5.05</v>
      </c>
      <c r="C861" s="11">
        <f>WORKDAY(INT($A861),1,holidays_US!$A:$A)</f>
        <v>45089</v>
      </c>
    </row>
    <row r="862" spans="1:3" x14ac:dyDescent="0.2">
      <c r="A862" s="11">
        <v>45089.332789351851</v>
      </c>
      <c r="B862" s="6">
        <v>5.05</v>
      </c>
      <c r="C862" s="11">
        <f>WORKDAY(INT($A862),1,holidays_US!$A:$A)</f>
        <v>45090</v>
      </c>
    </row>
    <row r="863" spans="1:3" x14ac:dyDescent="0.2">
      <c r="A863" s="11">
        <v>45090.332870370374</v>
      </c>
      <c r="B863" s="6">
        <v>5.05</v>
      </c>
      <c r="C863" s="11">
        <f>WORKDAY(INT($A863),1,holidays_US!$A:$A)</f>
        <v>45091</v>
      </c>
    </row>
    <row r="864" spans="1:3" x14ac:dyDescent="0.2">
      <c r="A864" s="11">
        <v>45091.332951388889</v>
      </c>
      <c r="B864" s="6">
        <v>5.05</v>
      </c>
      <c r="C864" s="11">
        <f>WORKDAY(INT($A864),1,holidays_US!$A:$A)</f>
        <v>45092</v>
      </c>
    </row>
    <row r="865" spans="1:3" x14ac:dyDescent="0.2">
      <c r="A865" s="11">
        <v>45092.332777777781</v>
      </c>
      <c r="B865" s="6">
        <v>5.0599999999999996</v>
      </c>
      <c r="C865" s="11">
        <f>WORKDAY(INT($A865),1,holidays_US!$A:$A)</f>
        <v>45093</v>
      </c>
    </row>
    <row r="866" spans="1:3" x14ac:dyDescent="0.2">
      <c r="A866" s="11">
        <v>45093.332743055558</v>
      </c>
      <c r="B866" s="6">
        <v>5.05</v>
      </c>
      <c r="C866" s="11">
        <f>WORKDAY(INT($A866),1,holidays_US!$A:$A)</f>
        <v>45097</v>
      </c>
    </row>
    <row r="867" spans="1:3" x14ac:dyDescent="0.2">
      <c r="A867" s="11">
        <v>45097.332858796297</v>
      </c>
      <c r="B867" s="6">
        <v>5.05</v>
      </c>
      <c r="C867" s="11">
        <f>WORKDAY(INT($A867),1,holidays_US!$A:$A)</f>
        <v>45098</v>
      </c>
    </row>
    <row r="868" spans="1:3" x14ac:dyDescent="0.2">
      <c r="A868" s="11">
        <v>45098.332777777781</v>
      </c>
      <c r="B868" s="6">
        <v>5.05</v>
      </c>
      <c r="C868" s="11">
        <f>WORKDAY(INT($A868),1,holidays_US!$A:$A)</f>
        <v>45099</v>
      </c>
    </row>
    <row r="869" spans="1:3" x14ac:dyDescent="0.2">
      <c r="A869" s="11">
        <v>45099.332743055558</v>
      </c>
      <c r="B869" s="6">
        <v>5.05</v>
      </c>
      <c r="C869" s="11">
        <f>WORKDAY(INT($A869),1,holidays_US!$A:$A)</f>
        <v>45100</v>
      </c>
    </row>
    <row r="870" spans="1:3" x14ac:dyDescent="0.2">
      <c r="A870" s="11">
        <v>45100.332974537036</v>
      </c>
      <c r="B870" s="6">
        <v>5.05</v>
      </c>
      <c r="C870" s="11">
        <f>WORKDAY(INT($A870),1,holidays_US!$A:$A)</f>
        <v>45103</v>
      </c>
    </row>
    <row r="871" spans="1:3" x14ac:dyDescent="0.2">
      <c r="A871" s="11">
        <v>45103.332858796297</v>
      </c>
      <c r="B871" s="6">
        <v>5.05</v>
      </c>
      <c r="C871" s="11">
        <f>WORKDAY(INT($A871),1,holidays_US!$A:$A)</f>
        <v>45104</v>
      </c>
    </row>
    <row r="872" spans="1:3" x14ac:dyDescent="0.2">
      <c r="A872" s="11">
        <v>45104.332905092589</v>
      </c>
      <c r="B872" s="6">
        <v>5.05</v>
      </c>
      <c r="C872" s="11">
        <f>WORKDAY(INT($A872),1,holidays_US!$A:$A)</f>
        <v>45105</v>
      </c>
    </row>
    <row r="873" spans="1:3" x14ac:dyDescent="0.2">
      <c r="A873" s="11">
        <v>45105.33284722222</v>
      </c>
      <c r="B873" s="6">
        <v>5.0599999999999996</v>
      </c>
      <c r="C873" s="11">
        <f>WORKDAY(INT($A873),1,holidays_US!$A:$A)</f>
        <v>45106</v>
      </c>
    </row>
    <row r="874" spans="1:3" x14ac:dyDescent="0.2">
      <c r="A874" s="11">
        <v>45106.332986111112</v>
      </c>
      <c r="B874" s="6">
        <v>5.0599999999999996</v>
      </c>
      <c r="C874" s="11">
        <f>WORKDAY(INT($A874),1,holidays_US!$A:$A)</f>
        <v>45107</v>
      </c>
    </row>
    <row r="875" spans="1:3" x14ac:dyDescent="0.2">
      <c r="A875" s="11">
        <v>45107.332766203705</v>
      </c>
      <c r="B875" s="6">
        <v>5.09</v>
      </c>
      <c r="C875" s="11">
        <f>WORKDAY(INT($A875),1,holidays_US!$A:$A)</f>
        <v>45110</v>
      </c>
    </row>
    <row r="876" spans="1:3" x14ac:dyDescent="0.2">
      <c r="A876" s="11">
        <v>45110.332905092589</v>
      </c>
      <c r="B876" s="6">
        <v>5.0599999999999996</v>
      </c>
      <c r="C876" s="11">
        <f>WORKDAY(INT($A876),1,holidays_US!$A:$A)</f>
        <v>45112</v>
      </c>
    </row>
    <row r="877" spans="1:3" x14ac:dyDescent="0.2">
      <c r="A877" s="11">
        <v>45112.332870370374</v>
      </c>
      <c r="B877" s="6">
        <v>5.0599999999999996</v>
      </c>
      <c r="C877" s="11">
        <f>WORKDAY(INT($A877),1,holidays_US!$A:$A)</f>
        <v>45113</v>
      </c>
    </row>
    <row r="878" spans="1:3" x14ac:dyDescent="0.2">
      <c r="A878" s="11">
        <v>45113.332824074074</v>
      </c>
      <c r="B878" s="6">
        <v>5.0599999999999996</v>
      </c>
      <c r="C878" s="11">
        <f>WORKDAY(INT($A878),1,holidays_US!$A:$A)</f>
        <v>45114</v>
      </c>
    </row>
    <row r="879" spans="1:3" x14ac:dyDescent="0.2">
      <c r="A879" s="11">
        <v>45114.332858796297</v>
      </c>
      <c r="B879" s="6">
        <v>5.0599999999999996</v>
      </c>
      <c r="C879" s="11">
        <f>WORKDAY(INT($A879),1,holidays_US!$A:$A)</f>
        <v>45117</v>
      </c>
    </row>
    <row r="880" spans="1:3" x14ac:dyDescent="0.2">
      <c r="A880" s="11">
        <v>45117.332824074074</v>
      </c>
      <c r="B880" s="6">
        <v>5.0599999999999996</v>
      </c>
      <c r="C880" s="11">
        <f>WORKDAY(INT($A880),1,holidays_US!$A:$A)</f>
        <v>45118</v>
      </c>
    </row>
    <row r="881" spans="1:3" x14ac:dyDescent="0.2">
      <c r="A881" s="11">
        <v>45118.33284722222</v>
      </c>
      <c r="B881" s="6">
        <v>5.0599999999999996</v>
      </c>
      <c r="C881" s="11">
        <f>WORKDAY(INT($A881),1,holidays_US!$A:$A)</f>
        <v>45119</v>
      </c>
    </row>
    <row r="882" spans="1:3" x14ac:dyDescent="0.2">
      <c r="A882" s="11">
        <v>45119.332800925928</v>
      </c>
      <c r="B882" s="6">
        <v>5.05</v>
      </c>
      <c r="C882" s="11">
        <f>WORKDAY(INT($A882),1,holidays_US!$A:$A)</f>
        <v>45120</v>
      </c>
    </row>
    <row r="883" spans="1:3" x14ac:dyDescent="0.2">
      <c r="A883" s="11">
        <v>45120.332800925928</v>
      </c>
      <c r="B883" s="6">
        <v>5.0599999999999996</v>
      </c>
      <c r="C883" s="11">
        <f>WORKDAY(INT($A883),1,holidays_US!$A:$A)</f>
        <v>45121</v>
      </c>
    </row>
    <row r="884" spans="1:3" x14ac:dyDescent="0.2">
      <c r="A884" s="11">
        <v>45121.332881944443</v>
      </c>
      <c r="B884" s="6">
        <v>5.05</v>
      </c>
      <c r="C884" s="11">
        <f>WORKDAY(INT($A884),1,holidays_US!$A:$A)</f>
        <v>45124</v>
      </c>
    </row>
    <row r="885" spans="1:3" x14ac:dyDescent="0.2">
      <c r="A885" s="11">
        <v>45124.332835648151</v>
      </c>
      <c r="B885" s="6">
        <v>5.0599999999999996</v>
      </c>
      <c r="C885" s="11">
        <f>WORKDAY(INT($A885),1,holidays_US!$A:$A)</f>
        <v>45125</v>
      </c>
    </row>
    <row r="886" spans="1:3" x14ac:dyDescent="0.2">
      <c r="A886" s="11">
        <v>45125.332824074074</v>
      </c>
      <c r="B886" s="6">
        <v>5.0599999999999996</v>
      </c>
      <c r="C886" s="11">
        <f>WORKDAY(INT($A886),1,holidays_US!$A:$A)</f>
        <v>45126</v>
      </c>
    </row>
    <row r="887" spans="1:3" x14ac:dyDescent="0.2">
      <c r="A887" s="11">
        <v>45126.332835648151</v>
      </c>
      <c r="B887" s="6">
        <v>5.05</v>
      </c>
      <c r="C887" s="11">
        <f>WORKDAY(INT($A887),1,holidays_US!$A:$A)</f>
        <v>45127</v>
      </c>
    </row>
    <row r="888" spans="1:3" x14ac:dyDescent="0.2">
      <c r="A888" s="11">
        <v>45127.332881944443</v>
      </c>
      <c r="B888" s="6">
        <v>5.0599999999999996</v>
      </c>
      <c r="C888" s="11">
        <f>WORKDAY(INT($A888),1,holidays_US!$A:$A)</f>
        <v>45128</v>
      </c>
    </row>
    <row r="889" spans="1:3" x14ac:dyDescent="0.2">
      <c r="A889" s="11">
        <v>45128.332766203705</v>
      </c>
      <c r="B889" s="6">
        <v>5.05</v>
      </c>
      <c r="C889" s="11">
        <f>WORKDAY(INT($A889),1,holidays_US!$A:$A)</f>
        <v>45131</v>
      </c>
    </row>
    <row r="890" spans="1:3" x14ac:dyDescent="0.2">
      <c r="A890" s="11">
        <v>45131.332870370374</v>
      </c>
      <c r="B890" s="6">
        <v>5.05</v>
      </c>
      <c r="C890" s="11">
        <f>WORKDAY(INT($A890),1,holidays_US!$A:$A)</f>
        <v>45132</v>
      </c>
    </row>
    <row r="891" spans="1:3" x14ac:dyDescent="0.2">
      <c r="A891" s="11">
        <v>45132.33284722222</v>
      </c>
      <c r="B891" s="6">
        <v>5.0599999999999996</v>
      </c>
      <c r="C891" s="11">
        <f>WORKDAY(INT($A891),1,holidays_US!$A:$A)</f>
        <v>45133</v>
      </c>
    </row>
    <row r="892" spans="1:3" x14ac:dyDescent="0.2">
      <c r="A892" s="11">
        <v>45133.332858796297</v>
      </c>
      <c r="B892" s="6">
        <v>5.0599999999999996</v>
      </c>
      <c r="C892" s="11">
        <f>WORKDAY(INT($A892),1,holidays_US!$A:$A)</f>
        <v>45134</v>
      </c>
    </row>
    <row r="893" spans="1:3" x14ac:dyDescent="0.2">
      <c r="A893" s="11">
        <v>45134.332766203705</v>
      </c>
      <c r="B893" s="6">
        <v>5.31</v>
      </c>
      <c r="C893" s="11">
        <f>WORKDAY(INT($A893),1,holidays_US!$A:$A)</f>
        <v>45135</v>
      </c>
    </row>
    <row r="894" spans="1:3" x14ac:dyDescent="0.2">
      <c r="A894" s="11">
        <v>45135.332754629628</v>
      </c>
      <c r="B894" s="6">
        <v>5.3</v>
      </c>
      <c r="C894" s="11">
        <f>WORKDAY(INT($A894),1,holidays_US!$A:$A)</f>
        <v>45138</v>
      </c>
    </row>
    <row r="895" spans="1:3" x14ac:dyDescent="0.2">
      <c r="A895" s="11">
        <v>45138.332789351851</v>
      </c>
      <c r="B895" s="6">
        <v>5.31</v>
      </c>
      <c r="C895" s="11">
        <f>WORKDAY(INT($A895),1,holidays_US!$A:$A)</f>
        <v>45139</v>
      </c>
    </row>
    <row r="896" spans="1:3" x14ac:dyDescent="0.2">
      <c r="A896" s="11">
        <v>45139.332766203705</v>
      </c>
      <c r="B896" s="6">
        <v>5.31</v>
      </c>
      <c r="C896" s="11">
        <f>WORKDAY(INT($A896),1,holidays_US!$A:$A)</f>
        <v>45140</v>
      </c>
    </row>
    <row r="897" spans="1:3" x14ac:dyDescent="0.2">
      <c r="A897" s="11">
        <v>45140.332743055558</v>
      </c>
      <c r="B897" s="6">
        <v>5.3</v>
      </c>
      <c r="C897" s="11">
        <f>WORKDAY(INT($A897),1,holidays_US!$A:$A)</f>
        <v>45141</v>
      </c>
    </row>
    <row r="898" spans="1:3" x14ac:dyDescent="0.2">
      <c r="A898" s="11">
        <v>45141.332812499997</v>
      </c>
      <c r="B898" s="6">
        <v>5.3</v>
      </c>
      <c r="C898" s="11">
        <f>WORKDAY(INT($A898),1,holidays_US!$A:$A)</f>
        <v>45142</v>
      </c>
    </row>
    <row r="899" spans="1:3" x14ac:dyDescent="0.2">
      <c r="A899" s="11">
        <v>45142.332939814813</v>
      </c>
      <c r="B899" s="6">
        <v>5.3</v>
      </c>
      <c r="C899" s="11">
        <f>WORKDAY(INT($A899),1,holidays_US!$A:$A)</f>
        <v>45145</v>
      </c>
    </row>
    <row r="900" spans="1:3" x14ac:dyDescent="0.2">
      <c r="A900" s="11">
        <v>45145.332905092589</v>
      </c>
      <c r="B900" s="6">
        <v>5.3</v>
      </c>
      <c r="C900" s="11">
        <f>WORKDAY(INT($A900),1,holidays_US!$A:$A)</f>
        <v>45146</v>
      </c>
    </row>
    <row r="901" spans="1:3" x14ac:dyDescent="0.2">
      <c r="A901" s="11">
        <v>45146.332928240743</v>
      </c>
      <c r="B901" s="6">
        <v>5.3</v>
      </c>
      <c r="C901" s="11">
        <f>WORKDAY(INT($A901),1,holidays_US!$A:$A)</f>
        <v>45147</v>
      </c>
    </row>
    <row r="902" spans="1:3" x14ac:dyDescent="0.2">
      <c r="A902" s="11">
        <v>45147.332916666666</v>
      </c>
      <c r="B902" s="6">
        <v>5.3</v>
      </c>
      <c r="C902" s="11">
        <f>WORKDAY(INT($A902),1,holidays_US!$A:$A)</f>
        <v>45148</v>
      </c>
    </row>
    <row r="903" spans="1:3" x14ac:dyDescent="0.2">
      <c r="A903" s="11">
        <v>45148.332905092589</v>
      </c>
      <c r="B903" s="6">
        <v>5.3</v>
      </c>
      <c r="C903" s="11">
        <f>WORKDAY(INT($A903),1,holidays_US!$A:$A)</f>
        <v>45149</v>
      </c>
    </row>
    <row r="904" spans="1:3" x14ac:dyDescent="0.2">
      <c r="A904" s="11">
        <v>45149.33284722222</v>
      </c>
      <c r="B904" s="6">
        <v>5.3</v>
      </c>
      <c r="C904" s="11">
        <f>WORKDAY(INT($A904),1,holidays_US!$A:$A)</f>
        <v>45152</v>
      </c>
    </row>
    <row r="905" spans="1:3" x14ac:dyDescent="0.2">
      <c r="A905" s="11">
        <v>45152.332905092589</v>
      </c>
      <c r="B905" s="6">
        <v>5.3</v>
      </c>
      <c r="C905" s="11">
        <f>WORKDAY(INT($A905),1,holidays_US!$A:$A)</f>
        <v>45153</v>
      </c>
    </row>
    <row r="906" spans="1:3" x14ac:dyDescent="0.2">
      <c r="A906" s="11">
        <v>45153.332858796297</v>
      </c>
      <c r="B906" s="6">
        <v>5.3</v>
      </c>
      <c r="C906" s="11">
        <f>WORKDAY(INT($A906),1,holidays_US!$A:$A)</f>
        <v>45154</v>
      </c>
    </row>
    <row r="907" spans="1:3" x14ac:dyDescent="0.2">
      <c r="A907" s="11">
        <v>45154.332766203705</v>
      </c>
      <c r="B907" s="6">
        <v>5.3</v>
      </c>
      <c r="C907" s="11">
        <f>WORKDAY(INT($A907),1,holidays_US!$A:$A)</f>
        <v>45155</v>
      </c>
    </row>
    <row r="908" spans="1:3" x14ac:dyDescent="0.2">
      <c r="A908" s="11">
        <v>45155.332916666666</v>
      </c>
      <c r="B908" s="6">
        <v>5.3</v>
      </c>
      <c r="C908" s="11">
        <f>WORKDAY(INT($A908),1,holidays_US!$A:$A)</f>
        <v>45156</v>
      </c>
    </row>
    <row r="909" spans="1:3" x14ac:dyDescent="0.2">
      <c r="A909" s="11">
        <v>45156.332905092589</v>
      </c>
      <c r="B909" s="6">
        <v>5.3</v>
      </c>
      <c r="C909" s="11">
        <f>WORKDAY(INT($A909),1,holidays_US!$A:$A)</f>
        <v>45159</v>
      </c>
    </row>
    <row r="910" spans="1:3" x14ac:dyDescent="0.2">
      <c r="A910" s="11">
        <v>45159.33289351852</v>
      </c>
      <c r="B910" s="6">
        <v>5.3</v>
      </c>
      <c r="C910" s="11">
        <f>WORKDAY(INT($A910),1,holidays_US!$A:$A)</f>
        <v>45160</v>
      </c>
    </row>
    <row r="911" spans="1:3" x14ac:dyDescent="0.2">
      <c r="A911" s="11">
        <v>45160.332916666666</v>
      </c>
      <c r="B911" s="6">
        <v>5.3</v>
      </c>
      <c r="C911" s="11">
        <f>WORKDAY(INT($A911),1,holidays_US!$A:$A)</f>
        <v>45161</v>
      </c>
    </row>
    <row r="912" spans="1:3" x14ac:dyDescent="0.2">
      <c r="A912" s="11">
        <v>45161.332881944443</v>
      </c>
      <c r="B912" s="6">
        <v>5.3</v>
      </c>
      <c r="C912" s="11">
        <f>WORKDAY(INT($A912),1,holidays_US!$A:$A)</f>
        <v>45162</v>
      </c>
    </row>
    <row r="913" spans="1:3" x14ac:dyDescent="0.2">
      <c r="A913" s="11">
        <v>45162.33289351852</v>
      </c>
      <c r="B913" s="6">
        <v>5.3</v>
      </c>
      <c r="C913" s="11">
        <f>WORKDAY(INT($A913),1,holidays_US!$A:$A)</f>
        <v>45163</v>
      </c>
    </row>
    <row r="914" spans="1:3" x14ac:dyDescent="0.2">
      <c r="A914" s="11">
        <v>45163.332800925928</v>
      </c>
      <c r="B914" s="6">
        <v>5.3</v>
      </c>
      <c r="C914" s="11">
        <f>WORKDAY(INT($A914),1,holidays_US!$A:$A)</f>
        <v>45166</v>
      </c>
    </row>
    <row r="915" spans="1:3" x14ac:dyDescent="0.2">
      <c r="A915" s="11">
        <v>45166.332766203705</v>
      </c>
      <c r="B915" s="6">
        <v>5.3</v>
      </c>
      <c r="C915" s="11">
        <f>WORKDAY(INT($A915),1,holidays_US!$A:$A)</f>
        <v>45167</v>
      </c>
    </row>
    <row r="916" spans="1:3" x14ac:dyDescent="0.2">
      <c r="A916" s="11">
        <v>45167.332812499997</v>
      </c>
      <c r="B916" s="6">
        <v>5.3</v>
      </c>
      <c r="C916" s="11">
        <f>WORKDAY(INT($A916),1,holidays_US!$A:$A)</f>
        <v>45168</v>
      </c>
    </row>
    <row r="917" spans="1:3" x14ac:dyDescent="0.2">
      <c r="A917" s="11">
        <v>45168.332870370374</v>
      </c>
      <c r="B917" s="6">
        <v>5.3</v>
      </c>
      <c r="C917" s="11">
        <f>WORKDAY(INT($A917),1,holidays_US!$A:$A)</f>
        <v>45169</v>
      </c>
    </row>
    <row r="918" spans="1:3" x14ac:dyDescent="0.2">
      <c r="A918" s="11">
        <v>45169.332835648151</v>
      </c>
      <c r="B918" s="6">
        <v>5.31</v>
      </c>
      <c r="C918" s="11">
        <f>WORKDAY(INT($A918),1,holidays_US!$A:$A)</f>
        <v>45170</v>
      </c>
    </row>
    <row r="919" spans="1:3" x14ac:dyDescent="0.2">
      <c r="A919" s="11">
        <v>45170.332881944443</v>
      </c>
      <c r="B919" s="6">
        <v>5.31</v>
      </c>
      <c r="C919" s="11">
        <f>WORKDAY(INT($A919),1,holidays_US!$A:$A)</f>
        <v>45174</v>
      </c>
    </row>
    <row r="920" spans="1:3" x14ac:dyDescent="0.2">
      <c r="A920" s="11">
        <v>45174.33284722222</v>
      </c>
      <c r="B920" s="6">
        <v>5.31</v>
      </c>
      <c r="C920" s="11">
        <f>WORKDAY(INT($A920),1,holidays_US!$A:$A)</f>
        <v>45175</v>
      </c>
    </row>
    <row r="921" spans="1:3" x14ac:dyDescent="0.2">
      <c r="A921" s="11">
        <v>45175.332812499997</v>
      </c>
      <c r="B921" s="6">
        <v>5.3</v>
      </c>
      <c r="C921" s="11">
        <f>WORKDAY(INT($A921),1,holidays_US!$A:$A)</f>
        <v>45176</v>
      </c>
    </row>
    <row r="922" spans="1:3" x14ac:dyDescent="0.2">
      <c r="A922" s="11">
        <v>45176.332870370374</v>
      </c>
      <c r="B922" s="6">
        <v>5.31</v>
      </c>
      <c r="C922" s="11">
        <f>WORKDAY(INT($A922),1,holidays_US!$A:$A)</f>
        <v>45177</v>
      </c>
    </row>
    <row r="923" spans="1:3" x14ac:dyDescent="0.2">
      <c r="A923" s="11">
        <v>45177.332835648151</v>
      </c>
      <c r="B923" s="6">
        <v>5.3</v>
      </c>
      <c r="C923" s="11">
        <f>WORKDAY(INT($A923),1,holidays_US!$A:$A)</f>
        <v>45180</v>
      </c>
    </row>
    <row r="924" spans="1:3" x14ac:dyDescent="0.2">
      <c r="A924" s="11">
        <v>45180.332800925928</v>
      </c>
      <c r="B924" s="6">
        <v>5.3</v>
      </c>
      <c r="C924" s="11">
        <f>WORKDAY(INT($A924),1,holidays_US!$A:$A)</f>
        <v>45181</v>
      </c>
    </row>
    <row r="925" spans="1:3" x14ac:dyDescent="0.2">
      <c r="A925" s="11">
        <v>45181.332789351851</v>
      </c>
      <c r="B925" s="6">
        <v>5.3</v>
      </c>
      <c r="C925" s="11">
        <f>WORKDAY(INT($A925),1,holidays_US!$A:$A)</f>
        <v>45182</v>
      </c>
    </row>
    <row r="926" spans="1:3" x14ac:dyDescent="0.2">
      <c r="A926" s="11">
        <v>45182.332881944443</v>
      </c>
      <c r="B926" s="6">
        <v>5.3</v>
      </c>
      <c r="C926" s="11">
        <f>WORKDAY(INT($A926),1,holidays_US!$A:$A)</f>
        <v>45183</v>
      </c>
    </row>
    <row r="927" spans="1:3" x14ac:dyDescent="0.2">
      <c r="A927" s="11">
        <v>45183.332881944443</v>
      </c>
      <c r="B927" s="6">
        <v>5.3</v>
      </c>
      <c r="C927" s="11">
        <f>WORKDAY(INT($A927),1,holidays_US!$A:$A)</f>
        <v>45184</v>
      </c>
    </row>
    <row r="928" spans="1:3" x14ac:dyDescent="0.2">
      <c r="A928" s="11">
        <v>45184.332858796297</v>
      </c>
      <c r="B928" s="6">
        <v>5.31</v>
      </c>
      <c r="C928" s="11">
        <f>WORKDAY(INT($A928),1,holidays_US!$A:$A)</f>
        <v>45187</v>
      </c>
    </row>
    <row r="929" spans="1:3" x14ac:dyDescent="0.2">
      <c r="A929" s="11">
        <v>45187.332858796297</v>
      </c>
      <c r="B929" s="6">
        <v>5.31</v>
      </c>
      <c r="C929" s="11">
        <f>WORKDAY(INT($A929),1,holidays_US!$A:$A)</f>
        <v>45188</v>
      </c>
    </row>
    <row r="930" spans="1:3" x14ac:dyDescent="0.2">
      <c r="A930" s="11">
        <v>45188.332766203705</v>
      </c>
      <c r="B930" s="6">
        <v>5.31</v>
      </c>
      <c r="C930" s="11">
        <f>WORKDAY(INT($A930),1,holidays_US!$A:$A)</f>
        <v>45189</v>
      </c>
    </row>
    <row r="931" spans="1:3" x14ac:dyDescent="0.2">
      <c r="A931" s="11">
        <v>45189.332777777781</v>
      </c>
      <c r="B931" s="6">
        <v>5.3</v>
      </c>
      <c r="C931" s="11">
        <f>WORKDAY(INT($A931),1,holidays_US!$A:$A)</f>
        <v>45190</v>
      </c>
    </row>
    <row r="932" spans="1:3" x14ac:dyDescent="0.2">
      <c r="A932" s="11">
        <v>45190.334155092591</v>
      </c>
      <c r="B932" s="6">
        <v>5.3</v>
      </c>
      <c r="C932" s="11">
        <f>WORKDAY(INT($A932),1,holidays_US!$A:$A)</f>
        <v>45191</v>
      </c>
    </row>
    <row r="933" spans="1:3" x14ac:dyDescent="0.2">
      <c r="A933" s="11">
        <v>45191.332835648151</v>
      </c>
      <c r="B933" s="6">
        <v>5.3</v>
      </c>
      <c r="C933" s="11">
        <f>WORKDAY(INT($A933),1,holidays_US!$A:$A)</f>
        <v>45194</v>
      </c>
    </row>
    <row r="934" spans="1:3" x14ac:dyDescent="0.2">
      <c r="A934" s="11">
        <v>45194.332881944443</v>
      </c>
      <c r="B934" s="6">
        <v>5.31</v>
      </c>
      <c r="C934" s="11">
        <f>WORKDAY(INT($A934),1,holidays_US!$A:$A)</f>
        <v>45195</v>
      </c>
    </row>
    <row r="935" spans="1:3" x14ac:dyDescent="0.2">
      <c r="A935" s="11">
        <v>45195.332905092589</v>
      </c>
      <c r="B935" s="6">
        <v>5.31</v>
      </c>
      <c r="C935" s="11">
        <f>WORKDAY(INT($A935),1,holidays_US!$A:$A)</f>
        <v>45196</v>
      </c>
    </row>
    <row r="936" spans="1:3" x14ac:dyDescent="0.2">
      <c r="A936" s="11">
        <v>45196.332951388889</v>
      </c>
      <c r="B936" s="6">
        <v>5.32</v>
      </c>
      <c r="C936" s="11">
        <f>WORKDAY(INT($A936),1,holidays_US!$A:$A)</f>
        <v>45197</v>
      </c>
    </row>
    <row r="937" spans="1:3" x14ac:dyDescent="0.2">
      <c r="A937" s="11">
        <v>45197.332939814813</v>
      </c>
      <c r="B937" s="6">
        <v>5.31</v>
      </c>
      <c r="C937" s="11">
        <f>WORKDAY(INT($A937),1,holidays_US!$A:$A)</f>
        <v>45198</v>
      </c>
    </row>
    <row r="938" spans="1:3" x14ac:dyDescent="0.2">
      <c r="A938" s="11">
        <v>45198.332766203705</v>
      </c>
      <c r="B938" s="6">
        <v>5.31</v>
      </c>
      <c r="C938" s="11">
        <f>WORKDAY(INT($A938),1,holidays_US!$A:$A)</f>
        <v>45201</v>
      </c>
    </row>
    <row r="939" spans="1:3" x14ac:dyDescent="0.2">
      <c r="A939" s="11">
        <v>45201.332766203705</v>
      </c>
      <c r="B939" s="6">
        <v>5.32</v>
      </c>
      <c r="C939" s="11">
        <f>WORKDAY(INT($A939),1,holidays_US!$A:$A)</f>
        <v>45202</v>
      </c>
    </row>
    <row r="940" spans="1:3" x14ac:dyDescent="0.2">
      <c r="A940" s="11">
        <v>45202.332754629628</v>
      </c>
      <c r="B940" s="6">
        <v>5.33</v>
      </c>
      <c r="C940" s="11">
        <f>WORKDAY(INT($A940),1,holidays_US!$A:$A)</f>
        <v>45203</v>
      </c>
    </row>
    <row r="941" spans="1:3" x14ac:dyDescent="0.2">
      <c r="A941" s="11">
        <v>45203.333402777775</v>
      </c>
      <c r="B941" s="6">
        <v>5.32</v>
      </c>
      <c r="C941" s="11">
        <f>WORKDAY(INT($A941),1,holidays_US!$A:$A)</f>
        <v>45204</v>
      </c>
    </row>
    <row r="942" spans="1:3" x14ac:dyDescent="0.2">
      <c r="A942" s="11">
        <v>45204.332766203705</v>
      </c>
      <c r="B942" s="6">
        <v>5.32</v>
      </c>
      <c r="C942" s="11">
        <f>WORKDAY(INT($A942),1,holidays_US!$A:$A)</f>
        <v>45205</v>
      </c>
    </row>
    <row r="943" spans="1:3" x14ac:dyDescent="0.2">
      <c r="A943" s="11">
        <v>45205.332754629628</v>
      </c>
      <c r="B943" s="6">
        <v>5.31</v>
      </c>
      <c r="C943" s="11">
        <f>WORKDAY(INT($A943),1,holidays_US!$A:$A)</f>
        <v>45209</v>
      </c>
    </row>
    <row r="944" spans="1:3" x14ac:dyDescent="0.2">
      <c r="A944" s="11">
        <v>45209.332789351851</v>
      </c>
      <c r="B944" s="6">
        <v>5.31</v>
      </c>
      <c r="C944" s="11">
        <f>WORKDAY(INT($A944),1,holidays_US!$A:$A)</f>
        <v>45210</v>
      </c>
    </row>
    <row r="945" spans="1:3" x14ac:dyDescent="0.2">
      <c r="A945" s="11">
        <v>45210.332858796297</v>
      </c>
      <c r="B945" s="6">
        <v>5.31</v>
      </c>
      <c r="C945" s="11">
        <f>WORKDAY(INT($A945),1,holidays_US!$A:$A)</f>
        <v>45211</v>
      </c>
    </row>
    <row r="946" spans="1:3" x14ac:dyDescent="0.2">
      <c r="A946" s="11">
        <v>45211.332800925928</v>
      </c>
      <c r="B946" s="6">
        <v>5.31</v>
      </c>
      <c r="C946" s="11">
        <f>WORKDAY(INT($A946),1,holidays_US!$A:$A)</f>
        <v>45212</v>
      </c>
    </row>
    <row r="947" spans="1:3" x14ac:dyDescent="0.2">
      <c r="A947" s="11">
        <v>45212.332951388889</v>
      </c>
      <c r="B947" s="6">
        <v>5.31</v>
      </c>
      <c r="C947" s="11">
        <f>WORKDAY(INT($A947),1,holidays_US!$A:$A)</f>
        <v>45215</v>
      </c>
    </row>
    <row r="948" spans="1:3" x14ac:dyDescent="0.2">
      <c r="A948" s="11">
        <v>45215.332870370374</v>
      </c>
      <c r="B948" s="6">
        <v>5.31</v>
      </c>
      <c r="C948" s="11">
        <f>WORKDAY(INT($A948),1,holidays_US!$A:$A)</f>
        <v>45216</v>
      </c>
    </row>
    <row r="949" spans="1:3" x14ac:dyDescent="0.2">
      <c r="A949" s="11">
        <v>45216.332905092589</v>
      </c>
      <c r="B949" s="6">
        <v>5.31</v>
      </c>
      <c r="C949" s="11">
        <f>WORKDAY(INT($A949),1,holidays_US!$A:$A)</f>
        <v>45217</v>
      </c>
    </row>
    <row r="950" spans="1:3" x14ac:dyDescent="0.2">
      <c r="A950" s="11">
        <v>45217.332881944443</v>
      </c>
      <c r="B950" s="6">
        <v>5.3</v>
      </c>
      <c r="C950" s="11">
        <f>WORKDAY(INT($A950),1,holidays_US!$A:$A)</f>
        <v>45218</v>
      </c>
    </row>
    <row r="951" spans="1:3" x14ac:dyDescent="0.2">
      <c r="A951" s="11">
        <v>45218.332858796297</v>
      </c>
      <c r="B951" s="6">
        <v>5.3</v>
      </c>
      <c r="C951" s="11">
        <f>WORKDAY(INT($A951),1,holidays_US!$A:$A)</f>
        <v>45219</v>
      </c>
    </row>
    <row r="952" spans="1:3" x14ac:dyDescent="0.2">
      <c r="A952" s="11">
        <v>45219.332997685182</v>
      </c>
      <c r="B952" s="6">
        <v>5.3</v>
      </c>
      <c r="C952" s="11">
        <f>WORKDAY(INT($A952),1,holidays_US!$A:$A)</f>
        <v>45222</v>
      </c>
    </row>
    <row r="953" spans="1:3" x14ac:dyDescent="0.2">
      <c r="A953" s="11">
        <v>45222.332858796297</v>
      </c>
      <c r="B953" s="6">
        <v>5.3</v>
      </c>
      <c r="C953" s="11">
        <f>WORKDAY(INT($A953),1,holidays_US!$A:$A)</f>
        <v>45223</v>
      </c>
    </row>
    <row r="954" spans="1:3" x14ac:dyDescent="0.2">
      <c r="A954" s="11">
        <v>45223.333032407405</v>
      </c>
      <c r="B954" s="6">
        <v>5.3</v>
      </c>
      <c r="C954" s="11">
        <f>WORKDAY(INT($A954),1,holidays_US!$A:$A)</f>
        <v>45224</v>
      </c>
    </row>
    <row r="955" spans="1:3" x14ac:dyDescent="0.2">
      <c r="A955" s="11">
        <v>45224.332905092589</v>
      </c>
      <c r="B955" s="6">
        <v>5.3</v>
      </c>
      <c r="C955" s="11">
        <f>WORKDAY(INT($A955),1,holidays_US!$A:$A)</f>
        <v>45225</v>
      </c>
    </row>
    <row r="956" spans="1:3" x14ac:dyDescent="0.2">
      <c r="A956" s="11">
        <v>45225.332928240743</v>
      </c>
      <c r="B956" s="6">
        <v>5.31</v>
      </c>
      <c r="C956" s="11">
        <f>WORKDAY(INT($A956),1,holidays_US!$A:$A)</f>
        <v>45226</v>
      </c>
    </row>
    <row r="957" spans="1:3" x14ac:dyDescent="0.2">
      <c r="A957" s="11">
        <v>45226.332962962966</v>
      </c>
      <c r="B957" s="6">
        <v>5.31</v>
      </c>
      <c r="C957" s="11">
        <f>WORKDAY(INT($A957),1,holidays_US!$A:$A)</f>
        <v>45229</v>
      </c>
    </row>
    <row r="958" spans="1:3" x14ac:dyDescent="0.2">
      <c r="A958" s="11">
        <v>45229.332928240743</v>
      </c>
      <c r="B958" s="6">
        <v>5.31</v>
      </c>
      <c r="C958" s="11">
        <f>WORKDAY(INT($A958),1,holidays_US!$A:$A)</f>
        <v>45230</v>
      </c>
    </row>
    <row r="959" spans="1:3" x14ac:dyDescent="0.2">
      <c r="A959" s="11">
        <v>45230.33284722222</v>
      </c>
      <c r="B959" s="6">
        <v>5.35</v>
      </c>
      <c r="C959" s="11">
        <f>WORKDAY(INT($A959),1,holidays_US!$A:$A)</f>
        <v>45231</v>
      </c>
    </row>
    <row r="960" spans="1:3" x14ac:dyDescent="0.2">
      <c r="A960" s="11">
        <v>45231.332916666666</v>
      </c>
      <c r="B960" s="6">
        <v>5.32</v>
      </c>
      <c r="C960" s="11">
        <f>WORKDAY(INT($A960),1,holidays_US!$A:$A)</f>
        <v>45232</v>
      </c>
    </row>
    <row r="961" spans="1:3" x14ac:dyDescent="0.2">
      <c r="A961" s="11">
        <v>45232.333009259259</v>
      </c>
      <c r="B961" s="6">
        <v>5.33</v>
      </c>
      <c r="C961" s="11">
        <f>WORKDAY(INT($A961),1,holidays_US!$A:$A)</f>
        <v>45233</v>
      </c>
    </row>
    <row r="962" spans="1:3" x14ac:dyDescent="0.2">
      <c r="A962" s="11">
        <v>45233.374467592592</v>
      </c>
      <c r="B962" s="6">
        <v>5.32</v>
      </c>
      <c r="C962" s="11">
        <f>WORKDAY(INT($A962),1,holidays_US!$A:$A)</f>
        <v>45236</v>
      </c>
    </row>
    <row r="963" spans="1:3" x14ac:dyDescent="0.2">
      <c r="A963" s="11">
        <v>45236.33284722222</v>
      </c>
      <c r="B963" s="6">
        <v>5.32</v>
      </c>
      <c r="C963" s="11">
        <f>WORKDAY(INT($A963),1,holidays_US!$A:$A)</f>
        <v>45237</v>
      </c>
    </row>
    <row r="964" spans="1:3" x14ac:dyDescent="0.2">
      <c r="A964" s="11">
        <v>45237.332731481481</v>
      </c>
      <c r="B964" s="6">
        <v>5.32</v>
      </c>
      <c r="C964" s="11">
        <f>WORKDAY(INT($A964),1,holidays_US!$A:$A)</f>
        <v>45238</v>
      </c>
    </row>
    <row r="965" spans="1:3" x14ac:dyDescent="0.2">
      <c r="A965" s="11">
        <v>45238.332812499997</v>
      </c>
      <c r="B965" s="6">
        <v>5.32</v>
      </c>
      <c r="C965" s="11">
        <f>WORKDAY(INT($A965),1,holidays_US!$A:$A)</f>
        <v>45239</v>
      </c>
    </row>
    <row r="966" spans="1:3" x14ac:dyDescent="0.2">
      <c r="A966" s="11">
        <v>45239.332812499997</v>
      </c>
      <c r="B966" s="6">
        <v>5.32</v>
      </c>
      <c r="C966" s="11">
        <f>WORKDAY(INT($A966),1,holidays_US!$A:$A)</f>
        <v>45243</v>
      </c>
    </row>
    <row r="967" spans="1:3" x14ac:dyDescent="0.2">
      <c r="A967" s="11">
        <v>45240.332870370374</v>
      </c>
      <c r="B967" s="6">
        <v>5.32</v>
      </c>
      <c r="C967" s="11">
        <f>WORKDAY(INT($A967),1,holidays_US!$A:$A)</f>
        <v>45243</v>
      </c>
    </row>
    <row r="968" spans="1:3" x14ac:dyDescent="0.2">
      <c r="A968" s="11">
        <v>45243.332939814813</v>
      </c>
      <c r="B968" s="6">
        <v>5.32</v>
      </c>
      <c r="C968" s="11">
        <f>WORKDAY(INT($A968),1,holidays_US!$A:$A)</f>
        <v>45244</v>
      </c>
    </row>
    <row r="969" spans="1:3" x14ac:dyDescent="0.2">
      <c r="A969" s="11">
        <v>45244.332870370374</v>
      </c>
      <c r="B969" s="6">
        <v>5.32</v>
      </c>
      <c r="C969" s="11">
        <f>WORKDAY(INT($A969),1,holidays_US!$A:$A)</f>
        <v>45245</v>
      </c>
    </row>
    <row r="970" spans="1:3" x14ac:dyDescent="0.2">
      <c r="A970" s="11">
        <v>45245.332881944443</v>
      </c>
      <c r="B970" s="6">
        <v>5.32</v>
      </c>
      <c r="C970" s="11">
        <f>WORKDAY(INT($A970),1,holidays_US!$A:$A)</f>
        <v>45246</v>
      </c>
    </row>
    <row r="971" spans="1:3" x14ac:dyDescent="0.2">
      <c r="A971" s="11">
        <v>45246.332939814813</v>
      </c>
      <c r="B971" s="6">
        <v>5.32</v>
      </c>
      <c r="C971" s="11">
        <f>WORKDAY(INT($A971),1,holidays_US!$A:$A)</f>
        <v>45247</v>
      </c>
    </row>
    <row r="972" spans="1:3" x14ac:dyDescent="0.2">
      <c r="A972" s="11">
        <v>45247.332870370374</v>
      </c>
      <c r="B972" s="6">
        <v>5.32</v>
      </c>
      <c r="C972" s="11">
        <f>WORKDAY(INT($A972),1,holidays_US!$A:$A)</f>
        <v>45250</v>
      </c>
    </row>
    <row r="973" spans="1:3" x14ac:dyDescent="0.2">
      <c r="A973" s="11">
        <v>45250.332766203705</v>
      </c>
      <c r="B973" s="6">
        <v>5.31</v>
      </c>
      <c r="C973" s="11">
        <f>WORKDAY(INT($A973),1,holidays_US!$A:$A)</f>
        <v>45251</v>
      </c>
    </row>
    <row r="974" spans="1:3" x14ac:dyDescent="0.2">
      <c r="A974" s="11">
        <v>45251.332789351851</v>
      </c>
      <c r="B974" s="6">
        <v>5.31</v>
      </c>
      <c r="C974" s="11">
        <f>WORKDAY(INT($A974),1,holidays_US!$A:$A)</f>
        <v>45252</v>
      </c>
    </row>
    <row r="975" spans="1:3" x14ac:dyDescent="0.2">
      <c r="A975" s="11">
        <v>45252.332916666666</v>
      </c>
      <c r="B975" s="6">
        <v>5.31</v>
      </c>
      <c r="C975" s="11">
        <f>WORKDAY(INT($A975),1,holidays_US!$A:$A)</f>
        <v>45254</v>
      </c>
    </row>
    <row r="976" spans="1:3" x14ac:dyDescent="0.2">
      <c r="A976" s="11">
        <v>45254.332800925928</v>
      </c>
      <c r="B976" s="6">
        <v>5.32</v>
      </c>
      <c r="C976" s="11">
        <f>WORKDAY(INT($A976),1,holidays_US!$A:$A)</f>
        <v>45257</v>
      </c>
    </row>
    <row r="977" spans="1:3" x14ac:dyDescent="0.2">
      <c r="A977" s="11">
        <v>45257.332800925928</v>
      </c>
      <c r="B977" s="6">
        <v>5.32</v>
      </c>
      <c r="C977" s="11">
        <f>WORKDAY(INT($A977),1,holidays_US!$A:$A)</f>
        <v>45258</v>
      </c>
    </row>
    <row r="978" spans="1:3" x14ac:dyDescent="0.2">
      <c r="A978" s="11">
        <v>45258.332870370374</v>
      </c>
      <c r="B978" s="6">
        <v>5.32</v>
      </c>
      <c r="C978" s="11">
        <f>WORKDAY(INT($A978),1,holidays_US!$A:$A)</f>
        <v>45259</v>
      </c>
    </row>
    <row r="979" spans="1:3" x14ac:dyDescent="0.2">
      <c r="A979" s="11">
        <v>45259.332812499997</v>
      </c>
      <c r="B979" s="6">
        <v>5.31</v>
      </c>
      <c r="C979" s="11">
        <f>WORKDAY(INT($A979),1,holidays_US!$A:$A)</f>
        <v>45260</v>
      </c>
    </row>
    <row r="980" spans="1:3" x14ac:dyDescent="0.2">
      <c r="A980" s="11">
        <v>45260.332962962966</v>
      </c>
      <c r="B980" s="6">
        <v>5.33</v>
      </c>
      <c r="C980" s="11">
        <f>WORKDAY(INT($A980),1,holidays_US!$A:$A)</f>
        <v>45261</v>
      </c>
    </row>
    <row r="981" spans="1:3" x14ac:dyDescent="0.2">
      <c r="A981" s="11">
        <v>45261.332743055558</v>
      </c>
      <c r="B981" s="6">
        <v>5.39</v>
      </c>
      <c r="C981" s="11">
        <f>WORKDAY(INT($A981),1,holidays_US!$A:$A)</f>
        <v>45264</v>
      </c>
    </row>
    <row r="982" spans="1:3" x14ac:dyDescent="0.2">
      <c r="A982" s="11">
        <v>45264.332824074074</v>
      </c>
      <c r="B982" s="6">
        <v>5.37</v>
      </c>
      <c r="C982" s="11">
        <f>WORKDAY(INT($A982),1,holidays_US!$A:$A)</f>
        <v>45265</v>
      </c>
    </row>
    <row r="983" spans="1:3" x14ac:dyDescent="0.2">
      <c r="A983" s="11">
        <v>45265.332835648151</v>
      </c>
      <c r="B983" s="6">
        <v>5.33</v>
      </c>
      <c r="C983" s="11">
        <f>WORKDAY(INT($A983),1,holidays_US!$A:$A)</f>
        <v>45266</v>
      </c>
    </row>
    <row r="984" spans="1:3" x14ac:dyDescent="0.2">
      <c r="A984" s="11">
        <v>45266.332766203705</v>
      </c>
      <c r="B984" s="6">
        <v>5.32</v>
      </c>
      <c r="C984" s="11">
        <f>WORKDAY(INT($A984),1,holidays_US!$A:$A)</f>
        <v>45267</v>
      </c>
    </row>
    <row r="985" spans="1:3" x14ac:dyDescent="0.2">
      <c r="A985" s="11">
        <v>45267.332708333335</v>
      </c>
      <c r="B985" s="6">
        <v>5.32</v>
      </c>
      <c r="C985" s="11">
        <f>WORKDAY(INT($A985),1,holidays_US!$A:$A)</f>
        <v>45268</v>
      </c>
    </row>
    <row r="986" spans="1:3" x14ac:dyDescent="0.2">
      <c r="A986" s="11">
        <v>45268.332835648151</v>
      </c>
      <c r="B986" s="6">
        <v>5.32</v>
      </c>
      <c r="C986" s="11">
        <f>WORKDAY(INT($A986),1,holidays_US!$A:$A)</f>
        <v>45271</v>
      </c>
    </row>
    <row r="987" spans="1:3" x14ac:dyDescent="0.2">
      <c r="A987" s="11">
        <v>45271.332812499997</v>
      </c>
      <c r="B987" s="6">
        <v>5.32</v>
      </c>
      <c r="C987" s="11">
        <f>WORKDAY(INT($A987),1,holidays_US!$A:$A)</f>
        <v>45272</v>
      </c>
    </row>
    <row r="988" spans="1:3" x14ac:dyDescent="0.2">
      <c r="A988" s="11">
        <v>45272.332800925928</v>
      </c>
      <c r="B988" s="6">
        <v>5.31</v>
      </c>
      <c r="C988" s="11">
        <f>WORKDAY(INT($A988),1,holidays_US!$A:$A)</f>
        <v>45273</v>
      </c>
    </row>
    <row r="989" spans="1:3" x14ac:dyDescent="0.2">
      <c r="A989" s="11">
        <v>45273.332824074074</v>
      </c>
      <c r="B989" s="6">
        <v>5.31</v>
      </c>
      <c r="C989" s="11">
        <f>WORKDAY(INT($A989),1,holidays_US!$A:$A)</f>
        <v>45274</v>
      </c>
    </row>
    <row r="990" spans="1:3" x14ac:dyDescent="0.2">
      <c r="A990" s="11">
        <v>45274.332824074074</v>
      </c>
      <c r="B990" s="6">
        <v>5.31</v>
      </c>
      <c r="C990" s="11">
        <f>WORKDAY(INT($A990),1,holidays_US!$A:$A)</f>
        <v>45275</v>
      </c>
    </row>
    <row r="991" spans="1:3" x14ac:dyDescent="0.2">
      <c r="A991" s="11">
        <v>45275.332789351851</v>
      </c>
      <c r="B991" s="6">
        <v>5.32</v>
      </c>
      <c r="C991" s="11">
        <f>WORKDAY(INT($A991),1,holidays_US!$A:$A)</f>
        <v>45278</v>
      </c>
    </row>
    <row r="992" spans="1:3" x14ac:dyDescent="0.2">
      <c r="A992" s="11">
        <v>45278.332777777781</v>
      </c>
      <c r="B992" s="6">
        <v>5.32</v>
      </c>
      <c r="C992" s="11">
        <f>WORKDAY(INT($A992),1,holidays_US!$A:$A)</f>
        <v>45279</v>
      </c>
    </row>
    <row r="993" spans="1:3" x14ac:dyDescent="0.2">
      <c r="A993" s="11">
        <v>45279.332731481481</v>
      </c>
      <c r="B993" s="6">
        <v>5.31</v>
      </c>
      <c r="C993" s="11">
        <f>WORKDAY(INT($A993),1,holidays_US!$A:$A)</f>
        <v>45280</v>
      </c>
    </row>
    <row r="994" spans="1:3" x14ac:dyDescent="0.2">
      <c r="A994" s="11">
        <v>45280.332824074074</v>
      </c>
      <c r="B994" s="6">
        <v>5.31</v>
      </c>
      <c r="C994" s="11">
        <f>WORKDAY(INT($A994),1,holidays_US!$A:$A)</f>
        <v>45281</v>
      </c>
    </row>
    <row r="995" spans="1:3" x14ac:dyDescent="0.2">
      <c r="A995" s="11">
        <v>45281.332812499997</v>
      </c>
      <c r="B995" s="6">
        <v>5.31</v>
      </c>
      <c r="C995" s="11">
        <f>WORKDAY(INT($A995),1,holidays_US!$A:$A)</f>
        <v>45282</v>
      </c>
    </row>
    <row r="996" spans="1:3" x14ac:dyDescent="0.2">
      <c r="A996" s="11">
        <v>45282.332870370374</v>
      </c>
      <c r="B996" s="6">
        <v>5.32</v>
      </c>
      <c r="C996" s="11">
        <f>WORKDAY(INT($A996),1,holidays_US!$A:$A)</f>
        <v>45286</v>
      </c>
    </row>
    <row r="997" spans="1:3" x14ac:dyDescent="0.2">
      <c r="A997" s="11">
        <v>45286.332881944443</v>
      </c>
      <c r="B997" s="6">
        <v>5.35</v>
      </c>
      <c r="C997" s="11">
        <f>WORKDAY(INT($A997),1,holidays_US!$A:$A)</f>
        <v>45287</v>
      </c>
    </row>
    <row r="998" spans="1:3" x14ac:dyDescent="0.2">
      <c r="A998" s="11">
        <v>45287.33289351852</v>
      </c>
      <c r="B998" s="6">
        <v>5.39</v>
      </c>
      <c r="C998" s="11">
        <f>WORKDAY(INT($A998),1,holidays_US!$A:$A)</f>
        <v>45288</v>
      </c>
    </row>
    <row r="999" spans="1:3" x14ac:dyDescent="0.2">
      <c r="A999" s="11">
        <v>45288.332870370374</v>
      </c>
      <c r="B999" s="6">
        <v>5.4</v>
      </c>
      <c r="C999" s="11">
        <f>WORKDAY(INT($A999),1,holidays_US!$A:$A)</f>
        <v>45289</v>
      </c>
    </row>
    <row r="1000" spans="1:3" x14ac:dyDescent="0.2">
      <c r="A1000" s="11">
        <v>45289.332743055558</v>
      </c>
      <c r="B1000" s="6">
        <v>5.38</v>
      </c>
      <c r="C1000" s="11">
        <f>WORKDAY(INT($A1000),1,holidays_US!$A:$A)</f>
        <v>45293</v>
      </c>
    </row>
    <row r="1001" spans="1:3" x14ac:dyDescent="0.2">
      <c r="A1001" s="11">
        <v>45293.332743055558</v>
      </c>
      <c r="B1001" s="6">
        <v>5.4</v>
      </c>
      <c r="C1001" s="11">
        <f>WORKDAY(INT($A1001),1,holidays_US!$A:$A)</f>
        <v>45294</v>
      </c>
    </row>
    <row r="1002" spans="1:3" x14ac:dyDescent="0.2">
      <c r="A1002" s="11">
        <v>45294.332708333335</v>
      </c>
      <c r="B1002" s="6">
        <v>5.39</v>
      </c>
      <c r="C1002" s="11">
        <f>WORKDAY(INT($A1002),1,holidays_US!$A:$A)</f>
        <v>45295</v>
      </c>
    </row>
    <row r="1003" spans="1:3" x14ac:dyDescent="0.2">
      <c r="A1003" s="11">
        <v>45295.332754629628</v>
      </c>
      <c r="B1003" s="6">
        <v>5.32</v>
      </c>
      <c r="C1003" s="11">
        <f>WORKDAY(INT($A1003),1,holidays_US!$A:$A)</f>
        <v>45296</v>
      </c>
    </row>
    <row r="1004" spans="1:3" x14ac:dyDescent="0.2">
      <c r="A1004" s="11">
        <v>45296.332777777781</v>
      </c>
      <c r="B1004" s="6">
        <v>5.31</v>
      </c>
      <c r="C1004" s="11">
        <f>WORKDAY(INT($A1004),1,holidays_US!$A:$A)</f>
        <v>45299</v>
      </c>
    </row>
    <row r="1005" spans="1:3" x14ac:dyDescent="0.2">
      <c r="A1005" s="11">
        <v>45299.332835648151</v>
      </c>
      <c r="B1005" s="6">
        <v>5.31</v>
      </c>
      <c r="C1005" s="11">
        <f>WORKDAY(INT($A1005),1,holidays_US!$A:$A)</f>
        <v>45300</v>
      </c>
    </row>
    <row r="1006" spans="1:3" x14ac:dyDescent="0.2">
      <c r="A1006" s="11">
        <v>45300.332777777781</v>
      </c>
      <c r="B1006" s="6">
        <v>5.31</v>
      </c>
      <c r="C1006" s="11">
        <f>WORKDAY(INT($A1006),1,holidays_US!$A:$A)</f>
        <v>45301</v>
      </c>
    </row>
    <row r="1007" spans="1:3" x14ac:dyDescent="0.2">
      <c r="A1007" s="11">
        <v>45301.332777777781</v>
      </c>
      <c r="B1007" s="6">
        <v>5.31</v>
      </c>
      <c r="C1007" s="11">
        <f>WORKDAY(INT($A1007),1,holidays_US!$A:$A)</f>
        <v>45302</v>
      </c>
    </row>
    <row r="1008" spans="1:3" x14ac:dyDescent="0.2">
      <c r="A1008" s="11">
        <v>45302.332777777781</v>
      </c>
      <c r="B1008" s="6">
        <v>5.31</v>
      </c>
      <c r="C1008" s="11">
        <f>WORKDAY(INT($A1008),1,holidays_US!$A:$A)</f>
        <v>45303</v>
      </c>
    </row>
    <row r="1009" spans="1:3" x14ac:dyDescent="0.2">
      <c r="A1009" s="11">
        <v>45303.33289351852</v>
      </c>
      <c r="B1009" s="6">
        <v>5.31</v>
      </c>
      <c r="C1009" s="11">
        <f>WORKDAY(INT($A1009),1,holidays_US!$A:$A)</f>
        <v>45307</v>
      </c>
    </row>
    <row r="1010" spans="1:3" x14ac:dyDescent="0.2">
      <c r="A1010" s="11">
        <v>45307.33284722222</v>
      </c>
      <c r="B1010" s="6">
        <v>5.32</v>
      </c>
      <c r="C1010" s="11">
        <f>WORKDAY(INT($A1010),1,holidays_US!$A:$A)</f>
        <v>45308</v>
      </c>
    </row>
    <row r="1011" spans="1:3" x14ac:dyDescent="0.2">
      <c r="A1011" s="11">
        <v>45308.332731481481</v>
      </c>
      <c r="B1011" s="6">
        <v>5.32</v>
      </c>
      <c r="C1011" s="11">
        <f>WORKDAY(INT($A1011),1,holidays_US!$A:$A)</f>
        <v>45309</v>
      </c>
    </row>
    <row r="1012" spans="1:3" x14ac:dyDescent="0.2">
      <c r="A1012" s="11">
        <v>45309.332789351851</v>
      </c>
      <c r="B1012" s="6">
        <v>5.31</v>
      </c>
      <c r="C1012" s="11">
        <f>WORKDAY(INT($A1012),1,holidays_US!$A:$A)</f>
        <v>45310</v>
      </c>
    </row>
    <row r="1013" spans="1:3" x14ac:dyDescent="0.2">
      <c r="A1013" s="11">
        <v>45310.332789351851</v>
      </c>
      <c r="B1013" s="6">
        <v>5.31</v>
      </c>
      <c r="C1013" s="11">
        <f>WORKDAY(INT($A1013),1,holidays_US!$A:$A)</f>
        <v>45313</v>
      </c>
    </row>
    <row r="1014" spans="1:3" x14ac:dyDescent="0.2">
      <c r="A1014" s="11">
        <v>45313.332777777781</v>
      </c>
      <c r="B1014" s="6">
        <v>5.31</v>
      </c>
      <c r="C1014" s="11">
        <f>WORKDAY(INT($A1014),1,holidays_US!$A:$A)</f>
        <v>45314</v>
      </c>
    </row>
    <row r="1015" spans="1:3" x14ac:dyDescent="0.2">
      <c r="A1015" s="11">
        <v>45314.33289351852</v>
      </c>
      <c r="B1015" s="6">
        <v>5.31</v>
      </c>
      <c r="C1015" s="11">
        <f>WORKDAY(INT($A1015),1,holidays_US!$A:$A)</f>
        <v>45315</v>
      </c>
    </row>
    <row r="1016" spans="1:3" x14ac:dyDescent="0.2">
      <c r="A1016" s="11">
        <v>45315.332766203705</v>
      </c>
      <c r="B1016" s="6">
        <v>5.31</v>
      </c>
      <c r="C1016" s="11">
        <f>WORKDAY(INT($A1016),1,holidays_US!$A:$A)</f>
        <v>45316</v>
      </c>
    </row>
    <row r="1017" spans="1:3" x14ac:dyDescent="0.2">
      <c r="A1017" s="11">
        <v>45316.332743055558</v>
      </c>
      <c r="B1017" s="6">
        <v>5.32</v>
      </c>
      <c r="C1017" s="11">
        <f>WORKDAY(INT($A1017),1,holidays_US!$A:$A)</f>
        <v>45317</v>
      </c>
    </row>
    <row r="1018" spans="1:3" x14ac:dyDescent="0.2">
      <c r="A1018" s="11">
        <v>45317.332800925928</v>
      </c>
      <c r="B1018" s="6">
        <v>5.32</v>
      </c>
      <c r="C1018" s="11">
        <f>WORKDAY(INT($A1018),1,holidays_US!$A:$A)</f>
        <v>45320</v>
      </c>
    </row>
    <row r="1019" spans="1:3" x14ac:dyDescent="0.2">
      <c r="A1019" s="11">
        <v>45320.332835648151</v>
      </c>
      <c r="B1019" s="6">
        <v>5.31</v>
      </c>
      <c r="C1019" s="11">
        <f>WORKDAY(INT($A1019),1,holidays_US!$A:$A)</f>
        <v>45321</v>
      </c>
    </row>
    <row r="1020" spans="1:3" x14ac:dyDescent="0.2">
      <c r="A1020" s="11">
        <v>45321.332800925928</v>
      </c>
      <c r="B1020" s="6">
        <v>5.31</v>
      </c>
      <c r="C1020" s="11">
        <f>WORKDAY(INT($A1020),1,holidays_US!$A:$A)</f>
        <v>45322</v>
      </c>
    </row>
    <row r="1021" spans="1:3" x14ac:dyDescent="0.2">
      <c r="A1021" s="11">
        <v>45322.332754629628</v>
      </c>
      <c r="B1021" s="6">
        <v>5.32</v>
      </c>
      <c r="C1021" s="11">
        <f>WORKDAY(INT($A1021),1,holidays_US!$A:$A)</f>
        <v>45323</v>
      </c>
    </row>
    <row r="1022" spans="1:3" x14ac:dyDescent="0.2">
      <c r="A1022" s="11">
        <v>45323.332754629628</v>
      </c>
      <c r="B1022" s="6">
        <v>5.32</v>
      </c>
      <c r="C1022" s="11">
        <f>WORKDAY(INT($A1022),1,holidays_US!$A:$A)</f>
        <v>45324</v>
      </c>
    </row>
    <row r="1023" spans="1:3" x14ac:dyDescent="0.2">
      <c r="A1023" s="11">
        <v>45324.332766203705</v>
      </c>
      <c r="B1023" s="6">
        <v>5.32</v>
      </c>
      <c r="C1023" s="11">
        <f>WORKDAY(INT($A1023),1,holidays_US!$A:$A)</f>
        <v>45327</v>
      </c>
    </row>
    <row r="1024" spans="1:3" x14ac:dyDescent="0.2">
      <c r="A1024" s="11">
        <v>45327.332754629628</v>
      </c>
      <c r="B1024" s="6">
        <v>5.31</v>
      </c>
      <c r="C1024" s="11">
        <f>WORKDAY(INT($A1024),1,holidays_US!$A:$A)</f>
        <v>45328</v>
      </c>
    </row>
    <row r="1025" spans="1:3" x14ac:dyDescent="0.2">
      <c r="A1025" s="11">
        <v>45328.332777777781</v>
      </c>
      <c r="B1025" s="6">
        <v>5.31</v>
      </c>
      <c r="C1025" s="11">
        <f>WORKDAY(INT($A1025),1,holidays_US!$A:$A)</f>
        <v>45329</v>
      </c>
    </row>
    <row r="1026" spans="1:3" x14ac:dyDescent="0.2">
      <c r="A1026" s="11">
        <v>45329.332743055558</v>
      </c>
      <c r="B1026" s="6">
        <v>5.31</v>
      </c>
      <c r="C1026" s="11">
        <f>WORKDAY(INT($A1026),1,holidays_US!$A:$A)</f>
        <v>45330</v>
      </c>
    </row>
    <row r="1027" spans="1:3" x14ac:dyDescent="0.2">
      <c r="A1027" s="11">
        <v>45330.332766203705</v>
      </c>
      <c r="B1027" s="6">
        <v>5.31</v>
      </c>
      <c r="C1027" s="11">
        <f>WORKDAY(INT($A1027),1,holidays_US!$A:$A)</f>
        <v>45331</v>
      </c>
    </row>
    <row r="1028" spans="1:3" x14ac:dyDescent="0.2">
      <c r="A1028" s="11">
        <v>45331.332754629628</v>
      </c>
      <c r="B1028" s="6">
        <v>5.31</v>
      </c>
      <c r="C1028" s="11">
        <f>WORKDAY(INT($A1028),1,holidays_US!$A:$A)</f>
        <v>45334</v>
      </c>
    </row>
    <row r="1029" spans="1:3" x14ac:dyDescent="0.2">
      <c r="A1029" s="11">
        <v>45334.332800925928</v>
      </c>
      <c r="B1029" s="6">
        <v>5.31</v>
      </c>
      <c r="C1029" s="11">
        <f>WORKDAY(INT($A1029),1,holidays_US!$A:$A)</f>
        <v>45335</v>
      </c>
    </row>
    <row r="1030" spans="1:3" x14ac:dyDescent="0.2">
      <c r="A1030" s="11">
        <v>45335.332766203705</v>
      </c>
      <c r="B1030" s="6">
        <v>5.31</v>
      </c>
      <c r="C1030" s="11">
        <f>WORKDAY(INT($A1030),1,holidays_US!$A:$A)</f>
        <v>45336</v>
      </c>
    </row>
    <row r="1031" spans="1:3" x14ac:dyDescent="0.2">
      <c r="A1031" s="11">
        <v>45336.332754629628</v>
      </c>
      <c r="B1031" s="6">
        <v>5.3</v>
      </c>
      <c r="C1031" s="11">
        <f>WORKDAY(INT($A1031),1,holidays_US!$A:$A)</f>
        <v>45337</v>
      </c>
    </row>
    <row r="1032" spans="1:3" x14ac:dyDescent="0.2">
      <c r="A1032" s="11">
        <v>45337.332731481481</v>
      </c>
      <c r="B1032" s="6">
        <v>5.31</v>
      </c>
      <c r="C1032" s="11">
        <f>WORKDAY(INT($A1032),1,holidays_US!$A:$A)</f>
        <v>45338</v>
      </c>
    </row>
    <row r="1033" spans="1:3" x14ac:dyDescent="0.2">
      <c r="A1033" s="11">
        <v>45338.332719907405</v>
      </c>
      <c r="B1033" s="6">
        <v>5.3</v>
      </c>
      <c r="C1033" s="11">
        <f>WORKDAY(INT($A1033),1,holidays_US!$A:$A)</f>
        <v>45342</v>
      </c>
    </row>
    <row r="1034" spans="1:3" x14ac:dyDescent="0.2">
      <c r="A1034" s="11">
        <v>45342.332766203705</v>
      </c>
      <c r="B1034" s="6">
        <v>5.3</v>
      </c>
      <c r="C1034" s="11">
        <f>WORKDAY(INT($A1034),1,holidays_US!$A:$A)</f>
        <v>45343</v>
      </c>
    </row>
    <row r="1035" spans="1:3" x14ac:dyDescent="0.2">
      <c r="A1035" s="11">
        <v>45343.332719907405</v>
      </c>
      <c r="B1035" s="6">
        <v>5.3</v>
      </c>
      <c r="C1035" s="11">
        <f>WORKDAY(INT($A1035),1,holidays_US!$A:$A)</f>
        <v>45344</v>
      </c>
    </row>
    <row r="1036" spans="1:3" x14ac:dyDescent="0.2">
      <c r="A1036" s="11">
        <v>45344.332754629628</v>
      </c>
      <c r="B1036" s="6">
        <v>5.3</v>
      </c>
      <c r="C1036" s="11">
        <f>WORKDAY(INT($A1036),1,holidays_US!$A:$A)</f>
        <v>45345</v>
      </c>
    </row>
    <row r="1037" spans="1:3" x14ac:dyDescent="0.2">
      <c r="A1037" s="11">
        <v>45345.332835648151</v>
      </c>
      <c r="B1037" s="6">
        <v>5.31</v>
      </c>
      <c r="C1037" s="11">
        <f>WORKDAY(INT($A1037),1,holidays_US!$A:$A)</f>
        <v>45348</v>
      </c>
    </row>
    <row r="1038" spans="1:3" x14ac:dyDescent="0.2">
      <c r="A1038" s="11">
        <v>45348.332812499997</v>
      </c>
      <c r="B1038" s="6">
        <v>5.31</v>
      </c>
      <c r="C1038" s="11">
        <f>WORKDAY(INT($A1038),1,holidays_US!$A:$A)</f>
        <v>45349</v>
      </c>
    </row>
    <row r="1039" spans="1:3" x14ac:dyDescent="0.2">
      <c r="A1039" s="11">
        <v>45349.332754629628</v>
      </c>
      <c r="B1039" s="6">
        <v>5.31</v>
      </c>
      <c r="C1039" s="11">
        <f>WORKDAY(INT($A1039),1,holidays_US!$A:$A)</f>
        <v>45350</v>
      </c>
    </row>
    <row r="1040" spans="1:3" x14ac:dyDescent="0.2">
      <c r="A1040" s="11">
        <v>45350.332743055558</v>
      </c>
      <c r="B1040" s="6">
        <v>5.31</v>
      </c>
      <c r="C1040" s="11">
        <f>WORKDAY(INT($A1040),1,holidays_US!$A:$A)</f>
        <v>45351</v>
      </c>
    </row>
    <row r="1041" spans="1:3" x14ac:dyDescent="0.2">
      <c r="A1041" s="11">
        <v>45351.332812499997</v>
      </c>
      <c r="B1041" s="6">
        <v>5.32</v>
      </c>
      <c r="C1041" s="11">
        <f>WORKDAY(INT($A1041),1,holidays_US!$A:$A)</f>
        <v>45352</v>
      </c>
    </row>
    <row r="1042" spans="1:3" x14ac:dyDescent="0.2">
      <c r="A1042" s="11">
        <v>45352.332800925928</v>
      </c>
      <c r="B1042" s="6">
        <v>5.31</v>
      </c>
      <c r="C1042" s="11">
        <f>WORKDAY(INT($A1042),1,holidays_US!$A:$A)</f>
        <v>45355</v>
      </c>
    </row>
    <row r="1043" spans="1:3" x14ac:dyDescent="0.2">
      <c r="A1043" s="11">
        <v>45355.332731481481</v>
      </c>
      <c r="B1043" s="6">
        <v>5.31</v>
      </c>
      <c r="C1043" s="11">
        <f>WORKDAY(INT($A1043),1,holidays_US!$A:$A)</f>
        <v>45356</v>
      </c>
    </row>
    <row r="1044" spans="1:3" x14ac:dyDescent="0.2">
      <c r="A1044" s="11">
        <v>45356.332731481481</v>
      </c>
      <c r="B1044" s="6">
        <v>5.31</v>
      </c>
      <c r="C1044" s="11">
        <f>WORKDAY(INT($A1044),1,holidays_US!$A:$A)</f>
        <v>45357</v>
      </c>
    </row>
    <row r="1045" spans="1:3" x14ac:dyDescent="0.2">
      <c r="A1045" s="11">
        <v>45357.332766203705</v>
      </c>
      <c r="B1045" s="6">
        <v>5.31</v>
      </c>
      <c r="C1045" s="11">
        <f>WORKDAY(INT($A1045),1,holidays_US!$A:$A)</f>
        <v>45358</v>
      </c>
    </row>
    <row r="1046" spans="1:3" x14ac:dyDescent="0.2">
      <c r="A1046" s="11">
        <v>45358.332766203705</v>
      </c>
      <c r="B1046" s="6">
        <v>5.31</v>
      </c>
      <c r="C1046" s="11">
        <f>WORKDAY(INT($A1046),1,holidays_US!$A:$A)</f>
        <v>45359</v>
      </c>
    </row>
    <row r="1047" spans="1:3" x14ac:dyDescent="0.2">
      <c r="A1047" s="11">
        <v>45359.291168981479</v>
      </c>
      <c r="B1047" s="6">
        <v>5.31</v>
      </c>
      <c r="C1047" s="11">
        <f>WORKDAY(INT($A1047),1,holidays_US!$A:$A)</f>
        <v>45362</v>
      </c>
    </row>
    <row r="1048" spans="1:3" x14ac:dyDescent="0.2">
      <c r="A1048" s="11">
        <v>45362.332800925928</v>
      </c>
      <c r="B1048" s="6">
        <v>5.31</v>
      </c>
      <c r="C1048" s="11">
        <f>WORKDAY(INT($A1048),1,holidays_US!$A:$A)</f>
        <v>45363</v>
      </c>
    </row>
    <row r="1049" spans="1:3" x14ac:dyDescent="0.2">
      <c r="A1049" s="11">
        <v>45363.332777777781</v>
      </c>
      <c r="B1049" s="6">
        <v>5.31</v>
      </c>
      <c r="C1049" s="11">
        <f>WORKDAY(INT($A1049),1,holidays_US!$A:$A)</f>
        <v>45364</v>
      </c>
    </row>
    <row r="1050" spans="1:3" x14ac:dyDescent="0.2">
      <c r="A1050" s="11">
        <v>45364.332766203705</v>
      </c>
      <c r="B1050" s="6">
        <v>5.31</v>
      </c>
      <c r="C1050" s="11">
        <f>WORKDAY(INT($A1050),1,holidays_US!$A:$A)</f>
        <v>45365</v>
      </c>
    </row>
    <row r="1051" spans="1:3" x14ac:dyDescent="0.2">
      <c r="A1051" s="11">
        <v>45365.332789351851</v>
      </c>
      <c r="B1051" s="6">
        <v>5.31</v>
      </c>
      <c r="C1051" s="11">
        <f>WORKDAY(INT($A1051),1,holidays_US!$A:$A)</f>
        <v>45366</v>
      </c>
    </row>
    <row r="1052" spans="1:3" x14ac:dyDescent="0.2">
      <c r="A1052" s="11">
        <v>45366.332800925928</v>
      </c>
      <c r="B1052" s="6">
        <v>5.31</v>
      </c>
      <c r="C1052" s="11">
        <f>WORKDAY(INT($A1052),1,holidays_US!$A:$A)</f>
        <v>45369</v>
      </c>
    </row>
    <row r="1053" spans="1:3" x14ac:dyDescent="0.2">
      <c r="A1053" s="11">
        <v>45369.332812499997</v>
      </c>
      <c r="B1053" s="6">
        <v>5.31</v>
      </c>
      <c r="C1053" s="11">
        <f>WORKDAY(INT($A1053),1,holidays_US!$A:$A)</f>
        <v>45370</v>
      </c>
    </row>
    <row r="1054" spans="1:3" x14ac:dyDescent="0.2">
      <c r="A1054" s="11">
        <v>45370.332777777781</v>
      </c>
      <c r="B1054" s="6">
        <v>5.31</v>
      </c>
      <c r="C1054" s="11">
        <f>WORKDAY(INT($A1054),1,holidays_US!$A:$A)</f>
        <v>45371</v>
      </c>
    </row>
    <row r="1055" spans="1:3" x14ac:dyDescent="0.2">
      <c r="A1055" s="11">
        <v>45371.332812499997</v>
      </c>
      <c r="B1055" s="6">
        <v>5.31</v>
      </c>
      <c r="C1055" s="11">
        <f>WORKDAY(INT($A1055),1,holidays_US!$A:$A)</f>
        <v>45372</v>
      </c>
    </row>
    <row r="1056" spans="1:3" x14ac:dyDescent="0.2">
      <c r="A1056" s="11">
        <v>45372.332789351851</v>
      </c>
      <c r="B1056" s="6">
        <v>5.31</v>
      </c>
      <c r="C1056" s="11">
        <f>WORKDAY(INT($A1056),1,holidays_US!$A:$A)</f>
        <v>45373</v>
      </c>
    </row>
    <row r="1057" spans="1:3" x14ac:dyDescent="0.2">
      <c r="A1057" s="11">
        <v>45373.33284722222</v>
      </c>
      <c r="B1057" s="6">
        <v>5.31</v>
      </c>
      <c r="C1057" s="11">
        <f>WORKDAY(INT($A1057),1,holidays_US!$A:$A)</f>
        <v>45376</v>
      </c>
    </row>
    <row r="1058" spans="1:3" x14ac:dyDescent="0.2">
      <c r="A1058" s="11">
        <v>45376.332835648151</v>
      </c>
      <c r="B1058" s="6">
        <v>5.31</v>
      </c>
      <c r="C1058" s="11">
        <f>WORKDAY(INT($A1058),1,holidays_US!$A:$A)</f>
        <v>45377</v>
      </c>
    </row>
    <row r="1059" spans="1:3" x14ac:dyDescent="0.2">
      <c r="A1059" s="11">
        <v>45377.332858796297</v>
      </c>
      <c r="B1059" s="6">
        <v>5.32</v>
      </c>
      <c r="C1059" s="11">
        <f>WORKDAY(INT($A1059),1,holidays_US!$A:$A)</f>
        <v>45378</v>
      </c>
    </row>
    <row r="1060" spans="1:3" x14ac:dyDescent="0.2">
      <c r="A1060" s="11">
        <v>45378.332870370374</v>
      </c>
      <c r="B1060" s="6">
        <v>5.33</v>
      </c>
      <c r="C1060" s="11">
        <f>WORKDAY(INT($A1060),1,holidays_US!$A:$A)</f>
        <v>45379</v>
      </c>
    </row>
    <row r="1061" spans="1:3" x14ac:dyDescent="0.2">
      <c r="A1061" s="11">
        <v>45379.332777777781</v>
      </c>
      <c r="B1061" s="6">
        <v>5.34</v>
      </c>
      <c r="C1061" s="11">
        <f>WORKDAY(INT($A1061),1,holidays_US!$A:$A)</f>
        <v>45380</v>
      </c>
    </row>
    <row r="1062" spans="1:3" x14ac:dyDescent="0.2">
      <c r="A1062" s="11">
        <v>45383.332812499997</v>
      </c>
      <c r="B1062" s="6">
        <v>5.35</v>
      </c>
      <c r="C1062" s="11">
        <f>WORKDAY(INT($A1062),1,holidays_US!$A:$A)</f>
        <v>45384</v>
      </c>
    </row>
    <row r="1063" spans="1:3" x14ac:dyDescent="0.2">
      <c r="A1063" s="11">
        <v>45384.332777777781</v>
      </c>
      <c r="B1063" s="6">
        <v>5.34</v>
      </c>
      <c r="C1063" s="11">
        <f>WORKDAY(INT($A1063),1,holidays_US!$A:$A)</f>
        <v>45385</v>
      </c>
    </row>
    <row r="1064" spans="1:3" x14ac:dyDescent="0.2">
      <c r="A1064" s="11">
        <v>45385.332812499997</v>
      </c>
      <c r="B1064" s="6">
        <v>5.32</v>
      </c>
      <c r="C1064" s="11">
        <f>WORKDAY(INT($A1064),1,holidays_US!$A:$A)</f>
        <v>45386</v>
      </c>
    </row>
    <row r="1065" spans="1:3" x14ac:dyDescent="0.2">
      <c r="A1065" s="11">
        <v>45386.332870370374</v>
      </c>
      <c r="B1065" s="6">
        <v>5.32</v>
      </c>
      <c r="C1065" s="11">
        <f>WORKDAY(INT($A1065),1,holidays_US!$A:$A)</f>
        <v>45387</v>
      </c>
    </row>
    <row r="1066" spans="1:3" x14ac:dyDescent="0.2">
      <c r="A1066" s="11">
        <v>45387.332731481481</v>
      </c>
      <c r="B1066" s="6">
        <v>5.32</v>
      </c>
      <c r="C1066" s="11">
        <f>WORKDAY(INT($A1066),1,holidays_US!$A:$A)</f>
        <v>45390</v>
      </c>
    </row>
    <row r="1067" spans="1:3" x14ac:dyDescent="0.2">
      <c r="A1067" s="11">
        <v>45390.332800925928</v>
      </c>
      <c r="B1067" s="6">
        <v>5.31</v>
      </c>
      <c r="C1067" s="11">
        <f>WORKDAY(INT($A1067),1,holidays_US!$A:$A)</f>
        <v>45391</v>
      </c>
    </row>
    <row r="1068" spans="1:3" x14ac:dyDescent="0.2">
      <c r="A1068" s="11">
        <v>45391.332812499997</v>
      </c>
      <c r="B1068" s="6">
        <v>5.31</v>
      </c>
      <c r="C1068" s="11">
        <f>WORKDAY(INT($A1068),1,holidays_US!$A:$A)</f>
        <v>45392</v>
      </c>
    </row>
    <row r="1069" spans="1:3" x14ac:dyDescent="0.2">
      <c r="A1069" s="11">
        <v>45392.332708333335</v>
      </c>
      <c r="B1069" s="6">
        <v>5.31</v>
      </c>
      <c r="C1069" s="11">
        <f>WORKDAY(INT($A1069),1,holidays_US!$A:$A)</f>
        <v>45393</v>
      </c>
    </row>
    <row r="1070" spans="1:3" x14ac:dyDescent="0.2">
      <c r="A1070" s="11">
        <v>45393.332743055558</v>
      </c>
      <c r="B1070" s="6">
        <v>5.31</v>
      </c>
      <c r="C1070" s="11">
        <f>WORKDAY(INT($A1070),1,holidays_US!$A:$A)</f>
        <v>45394</v>
      </c>
    </row>
    <row r="1071" spans="1:3" x14ac:dyDescent="0.2">
      <c r="A1071" s="11">
        <v>45394.332800925928</v>
      </c>
      <c r="B1071" s="6">
        <v>5.31</v>
      </c>
      <c r="C1071" s="11">
        <f>WORKDAY(INT($A1071),1,holidays_US!$A:$A)</f>
        <v>45397</v>
      </c>
    </row>
    <row r="1072" spans="1:3" x14ac:dyDescent="0.2">
      <c r="A1072" s="11">
        <v>45397.332800925928</v>
      </c>
      <c r="B1072" s="6">
        <v>5.32</v>
      </c>
      <c r="C1072" s="11">
        <f>WORKDAY(INT($A1072),1,holidays_US!$A:$A)</f>
        <v>45398</v>
      </c>
    </row>
    <row r="1073" spans="1:3" x14ac:dyDescent="0.2">
      <c r="A1073" s="11">
        <v>45398.332800925928</v>
      </c>
      <c r="B1073" s="6">
        <v>5.31</v>
      </c>
      <c r="C1073" s="11">
        <f>WORKDAY(INT($A1073),1,holidays_US!$A:$A)</f>
        <v>45399</v>
      </c>
    </row>
    <row r="1074" spans="1:3" x14ac:dyDescent="0.2">
      <c r="A1074" s="11">
        <v>45399.332754629628</v>
      </c>
      <c r="B1074" s="6">
        <v>5.31</v>
      </c>
      <c r="C1074" s="11">
        <f>WORKDAY(INT($A1074),1,holidays_US!$A:$A)</f>
        <v>45400</v>
      </c>
    </row>
    <row r="1075" spans="1:3" x14ac:dyDescent="0.2">
      <c r="A1075" s="11">
        <v>45400.332743055558</v>
      </c>
      <c r="B1075" s="6">
        <v>5.3</v>
      </c>
      <c r="C1075" s="11">
        <f>WORKDAY(INT($A1075),1,holidays_US!$A:$A)</f>
        <v>45401</v>
      </c>
    </row>
    <row r="1076" spans="1:3" x14ac:dyDescent="0.2">
      <c r="A1076" s="11">
        <v>45401.332777777781</v>
      </c>
      <c r="B1076" s="6">
        <v>5.31</v>
      </c>
      <c r="C1076" s="11">
        <f>WORKDAY(INT($A1076),1,holidays_US!$A:$A)</f>
        <v>45404</v>
      </c>
    </row>
    <row r="1077" spans="1:3" x14ac:dyDescent="0.2">
      <c r="A1077" s="11">
        <v>45404.332777777781</v>
      </c>
      <c r="B1077" s="6">
        <v>5.31</v>
      </c>
      <c r="C1077" s="11">
        <f>WORKDAY(INT($A1077),1,holidays_US!$A:$A)</f>
        <v>45405</v>
      </c>
    </row>
    <row r="1078" spans="1:3" x14ac:dyDescent="0.2">
      <c r="A1078" s="11">
        <v>45405.332766203705</v>
      </c>
      <c r="B1078" s="6">
        <v>5.31</v>
      </c>
      <c r="C1078" s="11">
        <f>WORKDAY(INT($A1078),1,holidays_US!$A:$A)</f>
        <v>45406</v>
      </c>
    </row>
    <row r="1079" spans="1:3" x14ac:dyDescent="0.2">
      <c r="A1079" s="11">
        <v>45406.332754629628</v>
      </c>
      <c r="B1079" s="6">
        <v>5.31</v>
      </c>
      <c r="C1079" s="11">
        <f>WORKDAY(INT($A1079),1,holidays_US!$A:$A)</f>
        <v>45407</v>
      </c>
    </row>
    <row r="1080" spans="1:3" x14ac:dyDescent="0.2">
      <c r="A1080" s="11">
        <v>45407.332754629628</v>
      </c>
      <c r="B1080" s="6">
        <v>5.31</v>
      </c>
      <c r="C1080" s="11">
        <f>WORKDAY(INT($A1080),1,holidays_US!$A:$A)</f>
        <v>45408</v>
      </c>
    </row>
    <row r="1081" spans="1:3" x14ac:dyDescent="0.2">
      <c r="A1081" s="11">
        <v>45408.333171296297</v>
      </c>
      <c r="B1081" s="6">
        <v>5.32</v>
      </c>
      <c r="C1081" s="11">
        <f>WORKDAY(INT($A1081),1,holidays_US!$A:$A)</f>
        <v>45411</v>
      </c>
    </row>
    <row r="1082" spans="1:3" x14ac:dyDescent="0.2">
      <c r="A1082" s="11">
        <v>45411.332916666666</v>
      </c>
      <c r="B1082" s="6">
        <v>5.32</v>
      </c>
      <c r="C1082" s="11">
        <f>WORKDAY(INT($A1082),1,holidays_US!$A:$A)</f>
        <v>45412</v>
      </c>
    </row>
    <row r="1083" spans="1:3" x14ac:dyDescent="0.2">
      <c r="A1083" s="11">
        <v>45412.332905092589</v>
      </c>
      <c r="B1083" s="6">
        <v>5.34</v>
      </c>
      <c r="C1083" s="11">
        <f>WORKDAY(INT($A1083),1,holidays_US!$A:$A)</f>
        <v>45413</v>
      </c>
    </row>
    <row r="1084" spans="1:3" x14ac:dyDescent="0.2">
      <c r="A1084" s="11">
        <v>45413.33289351852</v>
      </c>
      <c r="B1084" s="6">
        <v>5.32</v>
      </c>
      <c r="C1084" s="11">
        <f>WORKDAY(INT($A1084),1,holidays_US!$A:$A)</f>
        <v>45414</v>
      </c>
    </row>
    <row r="1085" spans="1:3" x14ac:dyDescent="0.2">
      <c r="A1085" s="11">
        <v>45414.332905092589</v>
      </c>
      <c r="B1085" s="6">
        <v>5.31</v>
      </c>
      <c r="C1085" s="11">
        <f>WORKDAY(INT($A1085),1,holidays_US!$A:$A)</f>
        <v>45415</v>
      </c>
    </row>
    <row r="1086" spans="1:3" x14ac:dyDescent="0.2">
      <c r="A1086" s="11">
        <v>45415.332835648151</v>
      </c>
      <c r="B1086" s="6">
        <v>5.31</v>
      </c>
      <c r="C1086" s="11">
        <f>WORKDAY(INT($A1086),1,holidays_US!$A:$A)</f>
        <v>45418</v>
      </c>
    </row>
    <row r="1087" spans="1:3" x14ac:dyDescent="0.2">
      <c r="A1087" s="11">
        <v>45418.33284722222</v>
      </c>
      <c r="B1087" s="6">
        <v>5.31</v>
      </c>
      <c r="C1087" s="11">
        <f>WORKDAY(INT($A1087),1,holidays_US!$A:$A)</f>
        <v>45419</v>
      </c>
    </row>
    <row r="1088" spans="1:3" x14ac:dyDescent="0.2">
      <c r="A1088" s="11">
        <v>45419.332835648151</v>
      </c>
      <c r="B1088" s="6">
        <v>5.31</v>
      </c>
      <c r="C1088" s="11">
        <f>WORKDAY(INT($A1088),1,holidays_US!$A:$A)</f>
        <v>45420</v>
      </c>
    </row>
    <row r="1089" spans="1:3" x14ac:dyDescent="0.2">
      <c r="A1089" s="11">
        <v>45420.332870370374</v>
      </c>
      <c r="B1089" s="6">
        <v>5.31</v>
      </c>
      <c r="C1089" s="11">
        <f>WORKDAY(INT($A1089),1,holidays_US!$A:$A)</f>
        <v>45421</v>
      </c>
    </row>
    <row r="1090" spans="1:3" x14ac:dyDescent="0.2">
      <c r="A1090" s="11">
        <v>45421.332824074074</v>
      </c>
      <c r="B1090" s="6">
        <v>5.31</v>
      </c>
      <c r="C1090" s="11">
        <f>WORKDAY(INT($A1090),1,holidays_US!$A:$A)</f>
        <v>45422</v>
      </c>
    </row>
    <row r="1091" spans="1:3" x14ac:dyDescent="0.2">
      <c r="A1091" s="11">
        <v>45422.332800925928</v>
      </c>
      <c r="B1091" s="6">
        <v>5.31</v>
      </c>
      <c r="C1091" s="11">
        <f>WORKDAY(INT($A1091),1,holidays_US!$A:$A)</f>
        <v>45425</v>
      </c>
    </row>
    <row r="1092" spans="1:3" x14ac:dyDescent="0.2">
      <c r="A1092" s="11">
        <v>45425.332777777781</v>
      </c>
      <c r="B1092" s="6">
        <v>5.31</v>
      </c>
      <c r="C1092" s="11">
        <f>WORKDAY(INT($A1092),1,holidays_US!$A:$A)</f>
        <v>45426</v>
      </c>
    </row>
    <row r="1093" spans="1:3" x14ac:dyDescent="0.2">
      <c r="A1093" s="11">
        <v>45426.332800925928</v>
      </c>
      <c r="B1093" s="6">
        <v>5.31</v>
      </c>
      <c r="C1093" s="11">
        <f>WORKDAY(INT($A1093),1,holidays_US!$A:$A)</f>
        <v>45427</v>
      </c>
    </row>
    <row r="1094" spans="1:3" x14ac:dyDescent="0.2">
      <c r="A1094" s="11">
        <v>45427.332812499997</v>
      </c>
      <c r="B1094" s="6">
        <v>5.31</v>
      </c>
      <c r="C1094" s="11">
        <f>WORKDAY(INT($A1094),1,holidays_US!$A:$A)</f>
        <v>45428</v>
      </c>
    </row>
    <row r="1095" spans="1:3" x14ac:dyDescent="0.2">
      <c r="A1095" s="11">
        <v>45428.33284722222</v>
      </c>
      <c r="B1095" s="6">
        <v>5.31</v>
      </c>
      <c r="C1095" s="11">
        <f>WORKDAY(INT($A1095),1,holidays_US!$A:$A)</f>
        <v>45429</v>
      </c>
    </row>
    <row r="1096" spans="1:3" x14ac:dyDescent="0.2">
      <c r="A1096" s="11">
        <v>45429.332777777781</v>
      </c>
      <c r="B1096" s="6">
        <v>5.31</v>
      </c>
      <c r="C1096" s="11">
        <f>WORKDAY(INT($A1096),1,holidays_US!$A:$A)</f>
        <v>45432</v>
      </c>
    </row>
    <row r="1097" spans="1:3" x14ac:dyDescent="0.2">
      <c r="A1097" s="11">
        <v>45432.332743055558</v>
      </c>
      <c r="B1097" s="6">
        <v>5.31</v>
      </c>
      <c r="C1097" s="11">
        <f>WORKDAY(INT($A1097),1,holidays_US!$A:$A)</f>
        <v>45433</v>
      </c>
    </row>
    <row r="1098" spans="1:3" x14ac:dyDescent="0.2">
      <c r="A1098" s="11">
        <v>45433.332731481481</v>
      </c>
      <c r="B1098" s="6">
        <v>5.31</v>
      </c>
      <c r="C1098" s="11">
        <f>WORKDAY(INT($A1098),1,holidays_US!$A:$A)</f>
        <v>45434</v>
      </c>
    </row>
    <row r="1099" spans="1:3" x14ac:dyDescent="0.2">
      <c r="A1099" s="11">
        <v>45434.332731481481</v>
      </c>
      <c r="B1099" s="6">
        <v>5.31</v>
      </c>
      <c r="C1099" s="11">
        <f>WORKDAY(INT($A1099),1,holidays_US!$A:$A)</f>
        <v>45435</v>
      </c>
    </row>
    <row r="1100" spans="1:3" x14ac:dyDescent="0.2">
      <c r="A1100" s="11">
        <v>45435.332777777781</v>
      </c>
      <c r="B1100" s="6">
        <v>5.31</v>
      </c>
      <c r="C1100" s="11">
        <f>WORKDAY(INT($A1100),1,holidays_US!$A:$A)</f>
        <v>45436</v>
      </c>
    </row>
    <row r="1101" spans="1:3" x14ac:dyDescent="0.2">
      <c r="A1101" s="11">
        <v>45436.332766203705</v>
      </c>
      <c r="B1101" s="6">
        <v>5.32</v>
      </c>
      <c r="C1101" s="11">
        <f>WORKDAY(INT($A1101),1,holidays_US!$A:$A)</f>
        <v>45440</v>
      </c>
    </row>
    <row r="1102" spans="1:3" x14ac:dyDescent="0.2">
      <c r="A1102" s="11">
        <v>45440.332789351851</v>
      </c>
      <c r="B1102" s="6">
        <v>5.32</v>
      </c>
      <c r="C1102" s="11">
        <f>WORKDAY(INT($A1102),1,holidays_US!$A:$A)</f>
        <v>45441</v>
      </c>
    </row>
    <row r="1103" spans="1:3" x14ac:dyDescent="0.2">
      <c r="A1103" s="11">
        <v>45441.332766203705</v>
      </c>
      <c r="B1103" s="6">
        <v>5.33</v>
      </c>
      <c r="C1103" s="11">
        <f>WORKDAY(INT($A1103),1,holidays_US!$A:$A)</f>
        <v>45442</v>
      </c>
    </row>
    <row r="1104" spans="1:3" x14ac:dyDescent="0.2">
      <c r="A1104" s="11">
        <v>45442.332754629628</v>
      </c>
      <c r="B1104" s="6">
        <v>5.33</v>
      </c>
      <c r="C1104" s="11">
        <f>WORKDAY(INT($A1104),1,holidays_US!$A:$A)</f>
        <v>45443</v>
      </c>
    </row>
    <row r="1105" spans="1:3" x14ac:dyDescent="0.2">
      <c r="A1105" s="11">
        <v>45443.332812499997</v>
      </c>
      <c r="B1105" s="6">
        <v>5.34</v>
      </c>
      <c r="C1105" s="11">
        <f>WORKDAY(INT($A1105),1,holidays_US!$A:$A)</f>
        <v>45446</v>
      </c>
    </row>
    <row r="1106" spans="1:3" x14ac:dyDescent="0.2">
      <c r="A1106" s="11">
        <v>45446.332766203705</v>
      </c>
      <c r="B1106" s="6">
        <v>5.35</v>
      </c>
      <c r="C1106" s="11">
        <f>WORKDAY(INT($A1106),1,holidays_US!$A:$A)</f>
        <v>45447</v>
      </c>
    </row>
    <row r="1107" spans="1:3" x14ac:dyDescent="0.2">
      <c r="A1107" s="11">
        <v>45447.332777777781</v>
      </c>
      <c r="B1107" s="6">
        <v>5.33</v>
      </c>
      <c r="C1107" s="11">
        <f>WORKDAY(INT($A1107),1,holidays_US!$A:$A)</f>
        <v>45448</v>
      </c>
    </row>
    <row r="1108" spans="1:3" x14ac:dyDescent="0.2">
      <c r="A1108" s="11">
        <v>45448.332777777781</v>
      </c>
      <c r="B1108" s="6">
        <v>5.33</v>
      </c>
      <c r="C1108" s="11">
        <f>WORKDAY(INT($A1108),1,holidays_US!$A:$A)</f>
        <v>45449</v>
      </c>
    </row>
    <row r="1109" spans="1:3" x14ac:dyDescent="0.2">
      <c r="A1109" s="11">
        <v>45449.333136574074</v>
      </c>
      <c r="B1109" s="6">
        <v>5.33</v>
      </c>
      <c r="C1109" s="11">
        <f>WORKDAY(INT($A1109),1,holidays_US!$A:$A)</f>
        <v>45450</v>
      </c>
    </row>
    <row r="1110" spans="1:3" x14ac:dyDescent="0.2">
      <c r="A1110" s="11">
        <v>45450.33289351852</v>
      </c>
      <c r="B1110" s="6">
        <v>5.33</v>
      </c>
      <c r="C1110" s="11">
        <f>WORKDAY(INT($A1110),1,holidays_US!$A:$A)</f>
        <v>45453</v>
      </c>
    </row>
    <row r="1111" spans="1:3" x14ac:dyDescent="0.2">
      <c r="A1111" s="11">
        <v>45453.332928240743</v>
      </c>
      <c r="B1111" s="6">
        <v>5.32</v>
      </c>
      <c r="C1111" s="11">
        <f>WORKDAY(INT($A1111),1,holidays_US!$A:$A)</f>
        <v>45454</v>
      </c>
    </row>
    <row r="1112" spans="1:3" x14ac:dyDescent="0.2">
      <c r="A1112" s="11">
        <v>45454.33284722222</v>
      </c>
      <c r="B1112" s="6">
        <v>5.32</v>
      </c>
      <c r="C1112" s="11">
        <f>WORKDAY(INT($A1112),1,holidays_US!$A:$A)</f>
        <v>45455</v>
      </c>
    </row>
    <row r="1113" spans="1:3" x14ac:dyDescent="0.2">
      <c r="A1113" s="11">
        <v>45455.332835648151</v>
      </c>
      <c r="B1113" s="6">
        <v>5.31</v>
      </c>
      <c r="C1113" s="11">
        <f>WORKDAY(INT($A1113),1,holidays_US!$A:$A)</f>
        <v>45456</v>
      </c>
    </row>
    <row r="1114" spans="1:3" x14ac:dyDescent="0.2">
      <c r="A1114" s="11">
        <v>45456.332928240743</v>
      </c>
      <c r="B1114" s="6">
        <v>5.31</v>
      </c>
      <c r="C1114" s="11">
        <f>WORKDAY(INT($A1114),1,holidays_US!$A:$A)</f>
        <v>45457</v>
      </c>
    </row>
    <row r="1115" spans="1:3" x14ac:dyDescent="0.2">
      <c r="A1115" s="11">
        <v>45457.33284722222</v>
      </c>
      <c r="B1115" s="6">
        <v>5.31</v>
      </c>
      <c r="C1115" s="11">
        <f>WORKDAY(INT($A1115),1,holidays_US!$A:$A)</f>
        <v>45460</v>
      </c>
    </row>
    <row r="1116" spans="1:3" x14ac:dyDescent="0.2">
      <c r="A1116" s="11">
        <v>45460.332754629628</v>
      </c>
      <c r="B1116" s="6">
        <v>5.33</v>
      </c>
      <c r="C1116" s="11">
        <f>WORKDAY(INT($A1116),1,holidays_US!$A:$A)</f>
        <v>45461</v>
      </c>
    </row>
    <row r="1117" spans="1:3" x14ac:dyDescent="0.2">
      <c r="A1117" s="11">
        <v>45461.332824074074</v>
      </c>
      <c r="B1117" s="6">
        <v>5.33</v>
      </c>
      <c r="C1117" s="11">
        <f>WORKDAY(INT($A1117),1,holidays_US!$A:$A)</f>
        <v>45463</v>
      </c>
    </row>
    <row r="1118" spans="1:3" x14ac:dyDescent="0.2">
      <c r="A1118" s="11">
        <v>45463.332766203705</v>
      </c>
      <c r="B1118" s="6">
        <v>5.32</v>
      </c>
      <c r="C1118" s="11">
        <f>WORKDAY(INT($A1118),1,holidays_US!$A:$A)</f>
        <v>45464</v>
      </c>
    </row>
    <row r="1119" spans="1:3" x14ac:dyDescent="0.2">
      <c r="A1119" s="11">
        <v>45464.332777777781</v>
      </c>
      <c r="B1119" s="6">
        <v>5.31</v>
      </c>
      <c r="C1119" s="11">
        <f>WORKDAY(INT($A1119),1,holidays_US!$A:$A)</f>
        <v>45467</v>
      </c>
    </row>
    <row r="1120" spans="1:3" x14ac:dyDescent="0.2">
      <c r="A1120" s="11">
        <v>45467.332835648151</v>
      </c>
      <c r="B1120" s="6">
        <v>5.31</v>
      </c>
      <c r="C1120" s="11">
        <f>WORKDAY(INT($A1120),1,holidays_US!$A:$A)</f>
        <v>45468</v>
      </c>
    </row>
    <row r="1121" spans="1:3" x14ac:dyDescent="0.2">
      <c r="A1121" s="11">
        <v>45468.332824074074</v>
      </c>
      <c r="B1121" s="6">
        <v>5.33</v>
      </c>
      <c r="C1121" s="11">
        <f>WORKDAY(INT($A1121),1,holidays_US!$A:$A)</f>
        <v>45469</v>
      </c>
    </row>
    <row r="1122" spans="1:3" x14ac:dyDescent="0.2">
      <c r="A1122" s="11">
        <v>45469.332812499997</v>
      </c>
      <c r="B1122" s="6">
        <v>5.34</v>
      </c>
      <c r="C1122" s="11">
        <f>WORKDAY(INT($A1122),1,holidays_US!$A:$A)</f>
        <v>45470</v>
      </c>
    </row>
    <row r="1123" spans="1:3" x14ac:dyDescent="0.2">
      <c r="A1123" s="11">
        <v>45470.332777777781</v>
      </c>
      <c r="B1123" s="6">
        <v>5.34</v>
      </c>
      <c r="C1123" s="11">
        <f>WORKDAY(INT($A1123),1,holidays_US!$A:$A)</f>
        <v>45471</v>
      </c>
    </row>
    <row r="1124" spans="1:3" x14ac:dyDescent="0.2">
      <c r="A1124" s="11">
        <v>45471.332754629628</v>
      </c>
      <c r="B1124" s="6">
        <v>5.33</v>
      </c>
      <c r="C1124" s="11">
        <f>WORKDAY(INT($A1124),1,holidays_US!$A:$A)</f>
        <v>45474</v>
      </c>
    </row>
    <row r="1125" spans="1:3" x14ac:dyDescent="0.2">
      <c r="A1125" s="11">
        <v>45474.332754629628</v>
      </c>
      <c r="B1125" s="6">
        <v>5.4</v>
      </c>
      <c r="C1125" s="11">
        <f>WORKDAY(INT($A1125),1,holidays_US!$A:$A)</f>
        <v>45475</v>
      </c>
    </row>
    <row r="1126" spans="1:3" x14ac:dyDescent="0.2">
      <c r="A1126" s="11">
        <v>45475.332812499997</v>
      </c>
      <c r="B1126" s="6">
        <v>5.35</v>
      </c>
      <c r="C1126" s="11">
        <f>WORKDAY(INT($A1126),1,holidays_US!$A:$A)</f>
        <v>45476</v>
      </c>
    </row>
    <row r="1127" spans="1:3" x14ac:dyDescent="0.2">
      <c r="A1127" s="11">
        <v>45476.332800925928</v>
      </c>
      <c r="B1127" s="6">
        <v>5.33</v>
      </c>
      <c r="C1127" s="11">
        <f>WORKDAY(INT($A1127),1,holidays_US!$A:$A)</f>
        <v>45478</v>
      </c>
    </row>
    <row r="1128" spans="1:3" x14ac:dyDescent="0.2">
      <c r="A1128" s="11">
        <v>45478.332754629628</v>
      </c>
      <c r="B1128" s="6">
        <v>5.32</v>
      </c>
      <c r="C1128" s="11">
        <f>WORKDAY(INT($A1128),1,holidays_US!$A:$A)</f>
        <v>45481</v>
      </c>
    </row>
    <row r="1129" spans="1:3" x14ac:dyDescent="0.2">
      <c r="A1129" s="11">
        <v>45481.332754629628</v>
      </c>
      <c r="B1129" s="6">
        <v>5.32</v>
      </c>
      <c r="C1129" s="11">
        <f>WORKDAY(INT($A1129),1,holidays_US!$A:$A)</f>
        <v>45482</v>
      </c>
    </row>
    <row r="1130" spans="1:3" x14ac:dyDescent="0.2">
      <c r="A1130" s="11">
        <v>45482.332777777781</v>
      </c>
      <c r="B1130" s="6">
        <v>5.34</v>
      </c>
      <c r="C1130" s="11">
        <f>WORKDAY(INT($A1130),1,holidays_US!$A:$A)</f>
        <v>45483</v>
      </c>
    </row>
    <row r="1131" spans="1:3" x14ac:dyDescent="0.2">
      <c r="A1131" s="11">
        <v>45483.332812499997</v>
      </c>
      <c r="B1131" s="6">
        <v>5.34</v>
      </c>
      <c r="C1131" s="11">
        <f>WORKDAY(INT($A1131),1,holidays_US!$A:$A)</f>
        <v>45484</v>
      </c>
    </row>
    <row r="1132" spans="1:3" x14ac:dyDescent="0.2">
      <c r="A1132" s="11">
        <v>45484.332743055558</v>
      </c>
      <c r="B1132" s="6">
        <v>5.34</v>
      </c>
      <c r="C1132" s="11">
        <f>WORKDAY(INT($A1132),1,holidays_US!$A:$A)</f>
        <v>45485</v>
      </c>
    </row>
    <row r="1133" spans="1:3" x14ac:dyDescent="0.2">
      <c r="A1133" s="11">
        <v>45485.332905092589</v>
      </c>
      <c r="B1133" s="6">
        <v>5.34</v>
      </c>
      <c r="C1133" s="11">
        <f>WORKDAY(INT($A1133),1,holidays_US!$A:$A)</f>
        <v>45488</v>
      </c>
    </row>
    <row r="1134" spans="1:3" x14ac:dyDescent="0.2">
      <c r="A1134" s="11">
        <v>45488.332870370374</v>
      </c>
      <c r="B1134" s="6">
        <v>5.34</v>
      </c>
      <c r="C1134" s="11">
        <f>WORKDAY(INT($A1134),1,holidays_US!$A:$A)</f>
        <v>45489</v>
      </c>
    </row>
    <row r="1135" spans="1:3" x14ac:dyDescent="0.2">
      <c r="A1135" s="11">
        <v>45489.332870370374</v>
      </c>
      <c r="B1135" s="6">
        <v>5.35</v>
      </c>
      <c r="C1135" s="11">
        <f>WORKDAY(INT($A1135),1,holidays_US!$A:$A)</f>
        <v>45490</v>
      </c>
    </row>
    <row r="1136" spans="1:3" x14ac:dyDescent="0.2">
      <c r="A1136" s="11">
        <v>45490.33289351852</v>
      </c>
      <c r="B1136" s="6">
        <v>5.35</v>
      </c>
      <c r="C1136" s="11">
        <f>WORKDAY(INT($A1136),1,holidays_US!$A:$A)</f>
        <v>45491</v>
      </c>
    </row>
    <row r="1137" spans="1:3" x14ac:dyDescent="0.2">
      <c r="A1137" s="11">
        <v>45491.332789351851</v>
      </c>
      <c r="B1137" s="6">
        <v>5.34</v>
      </c>
      <c r="C1137" s="11">
        <f>WORKDAY(INT($A1137),1,holidays_US!$A:$A)</f>
        <v>45492</v>
      </c>
    </row>
    <row r="1138" spans="1:3" x14ac:dyDescent="0.2">
      <c r="A1138" s="11">
        <v>45492.33289351852</v>
      </c>
      <c r="B1138" s="6">
        <v>5.34</v>
      </c>
      <c r="C1138" s="11">
        <f>WORKDAY(INT($A1138),1,holidays_US!$A:$A)</f>
        <v>45495</v>
      </c>
    </row>
    <row r="1139" spans="1:3" x14ac:dyDescent="0.2">
      <c r="A1139" s="11">
        <v>45495.332858796297</v>
      </c>
      <c r="B1139" s="6">
        <v>5.33</v>
      </c>
      <c r="C1139" s="11">
        <f>WORKDAY(INT($A1139),1,holidays_US!$A:$A)</f>
        <v>45496</v>
      </c>
    </row>
    <row r="1140" spans="1:3" x14ac:dyDescent="0.2">
      <c r="A1140" s="11">
        <v>45496.332881944443</v>
      </c>
      <c r="B1140" s="6">
        <v>5.34</v>
      </c>
      <c r="C1140" s="11">
        <f>WORKDAY(INT($A1140),1,holidays_US!$A:$A)</f>
        <v>45497</v>
      </c>
    </row>
    <row r="1141" spans="1:3" x14ac:dyDescent="0.2">
      <c r="A1141" s="11">
        <v>45497.332870370374</v>
      </c>
      <c r="B1141" s="6">
        <v>5.34</v>
      </c>
      <c r="C1141" s="11">
        <f>WORKDAY(INT($A1141),1,holidays_US!$A:$A)</f>
        <v>45498</v>
      </c>
    </row>
    <row r="1142" spans="1:3" x14ac:dyDescent="0.2">
      <c r="A1142" s="11">
        <v>45498.33284722222</v>
      </c>
      <c r="B1142" s="6">
        <v>5.35</v>
      </c>
      <c r="C1142" s="11">
        <f>WORKDAY(INT($A1142),1,holidays_US!$A:$A)</f>
        <v>45499</v>
      </c>
    </row>
    <row r="1143" spans="1:3" x14ac:dyDescent="0.2">
      <c r="A1143" s="11">
        <v>45499.332835648151</v>
      </c>
      <c r="B1143" s="6">
        <v>5.35</v>
      </c>
      <c r="C1143" s="11">
        <f>WORKDAY(INT($A1143),1,holidays_US!$A:$A)</f>
        <v>45502</v>
      </c>
    </row>
    <row r="1144" spans="1:3" x14ac:dyDescent="0.2">
      <c r="A1144" s="11">
        <v>45502.33289351852</v>
      </c>
      <c r="B1144" s="6">
        <v>5.33</v>
      </c>
      <c r="C1144" s="11">
        <f>WORKDAY(INT($A1144),1,holidays_US!$A:$A)</f>
        <v>45503</v>
      </c>
    </row>
    <row r="1145" spans="1:3" x14ac:dyDescent="0.2">
      <c r="A1145" s="11">
        <v>45503.332858796297</v>
      </c>
      <c r="B1145" s="6">
        <v>5.33</v>
      </c>
      <c r="C1145" s="11">
        <f>WORKDAY(INT($A1145),1,holidays_US!$A:$A)</f>
        <v>45504</v>
      </c>
    </row>
    <row r="1146" spans="1:3" x14ac:dyDescent="0.2">
      <c r="A1146" s="11">
        <v>45504.332870370374</v>
      </c>
      <c r="B1146" s="6">
        <v>5.38</v>
      </c>
      <c r="C1146" s="11">
        <f>WORKDAY(INT($A1146),1,holidays_US!$A:$A)</f>
        <v>45505</v>
      </c>
    </row>
    <row r="1147" spans="1:3" x14ac:dyDescent="0.2">
      <c r="A1147" s="11">
        <v>45505.332939814813</v>
      </c>
      <c r="B1147" s="6">
        <v>5.35</v>
      </c>
      <c r="C1147" s="11">
        <f>WORKDAY(INT($A1147),1,holidays_US!$A:$A)</f>
        <v>45506</v>
      </c>
    </row>
    <row r="1148" spans="1:3" x14ac:dyDescent="0.2">
      <c r="A1148" s="11">
        <v>45506.332754629628</v>
      </c>
      <c r="B1148" s="6">
        <v>5.35</v>
      </c>
      <c r="C1148" s="11">
        <f>WORKDAY(INT($A1148),1,holidays_US!$A:$A)</f>
        <v>45509</v>
      </c>
    </row>
    <row r="1149" spans="1:3" x14ac:dyDescent="0.2">
      <c r="A1149" s="11">
        <v>45509.332766203705</v>
      </c>
      <c r="B1149" s="6">
        <v>5.32</v>
      </c>
      <c r="C1149" s="11">
        <f>WORKDAY(INT($A1149),1,holidays_US!$A:$A)</f>
        <v>45510</v>
      </c>
    </row>
    <row r="1150" spans="1:3" x14ac:dyDescent="0.2">
      <c r="A1150" s="11">
        <v>45510.332743055558</v>
      </c>
      <c r="B1150" s="6">
        <v>5.33</v>
      </c>
      <c r="C1150" s="11">
        <f>WORKDAY(INT($A1150),1,holidays_US!$A:$A)</f>
        <v>45511</v>
      </c>
    </row>
    <row r="1151" spans="1:3" x14ac:dyDescent="0.2">
      <c r="A1151" s="11">
        <v>45511.332731481481</v>
      </c>
      <c r="B1151" s="6">
        <v>5.33</v>
      </c>
      <c r="C1151" s="11">
        <f>WORKDAY(INT($A1151),1,holidays_US!$A:$A)</f>
        <v>45512</v>
      </c>
    </row>
    <row r="1152" spans="1:3" x14ac:dyDescent="0.2">
      <c r="A1152" s="11">
        <v>45512.332800925928</v>
      </c>
      <c r="B1152" s="6">
        <v>5.34</v>
      </c>
      <c r="C1152" s="11">
        <f>WORKDAY(INT($A1152),1,holidays_US!$A:$A)</f>
        <v>45513</v>
      </c>
    </row>
    <row r="1153" spans="1:3" x14ac:dyDescent="0.2">
      <c r="A1153" s="11">
        <v>45513.332800925928</v>
      </c>
      <c r="B1153" s="6">
        <v>5.34</v>
      </c>
      <c r="C1153" s="11">
        <f>WORKDAY(INT($A1153),1,holidays_US!$A:$A)</f>
        <v>45516</v>
      </c>
    </row>
    <row r="1154" spans="1:3" x14ac:dyDescent="0.2">
      <c r="A1154" s="11">
        <v>45516.332789351851</v>
      </c>
      <c r="B1154" s="6">
        <v>5.34</v>
      </c>
      <c r="C1154" s="11">
        <f>WORKDAY(INT($A1154),1,holidays_US!$A:$A)</f>
        <v>45517</v>
      </c>
    </row>
    <row r="1155" spans="1:3" x14ac:dyDescent="0.2">
      <c r="A1155" s="11">
        <v>45517.332777777781</v>
      </c>
      <c r="B1155" s="6">
        <v>5.34</v>
      </c>
      <c r="C1155" s="11">
        <f>WORKDAY(INT($A1155),1,holidays_US!$A:$A)</f>
        <v>45518</v>
      </c>
    </row>
    <row r="1156" spans="1:3" x14ac:dyDescent="0.2">
      <c r="A1156" s="11">
        <v>45518.332824074074</v>
      </c>
      <c r="B1156" s="6">
        <v>5.33</v>
      </c>
      <c r="C1156" s="11">
        <f>WORKDAY(INT($A1156),1,holidays_US!$A:$A)</f>
        <v>45519</v>
      </c>
    </row>
    <row r="1157" spans="1:3" x14ac:dyDescent="0.2">
      <c r="A1157" s="11">
        <v>45519.33284722222</v>
      </c>
      <c r="B1157" s="6">
        <v>5.35</v>
      </c>
      <c r="C1157" s="11">
        <f>WORKDAY(INT($A1157),1,holidays_US!$A:$A)</f>
        <v>45520</v>
      </c>
    </row>
    <row r="1158" spans="1:3" x14ac:dyDescent="0.2">
      <c r="A1158" s="11">
        <v>45520.332719907405</v>
      </c>
      <c r="B1158" s="6">
        <v>5.32</v>
      </c>
      <c r="C1158" s="11">
        <f>WORKDAY(INT($A1158),1,holidays_US!$A:$A)</f>
        <v>45523</v>
      </c>
    </row>
    <row r="1159" spans="1:3" x14ac:dyDescent="0.2">
      <c r="A1159" s="11">
        <v>45523.332824074074</v>
      </c>
      <c r="B1159" s="6">
        <v>5.32</v>
      </c>
      <c r="C1159" s="11">
        <f>WORKDAY(INT($A1159),1,holidays_US!$A:$A)</f>
        <v>45524</v>
      </c>
    </row>
    <row r="1160" spans="1:3" x14ac:dyDescent="0.2">
      <c r="A1160" s="11">
        <v>45524.332719907405</v>
      </c>
      <c r="B1160" s="6">
        <v>5.32</v>
      </c>
      <c r="C1160" s="11">
        <f>WORKDAY(INT($A1160),1,holidays_US!$A:$A)</f>
        <v>45525</v>
      </c>
    </row>
    <row r="1161" spans="1:3" x14ac:dyDescent="0.2">
      <c r="A1161" s="11">
        <v>45525.332731481481</v>
      </c>
      <c r="B1161" s="6">
        <v>5.31</v>
      </c>
      <c r="C1161" s="11">
        <f>WORKDAY(INT($A1161),1,holidays_US!$A:$A)</f>
        <v>45526</v>
      </c>
    </row>
    <row r="1162" spans="1:3" x14ac:dyDescent="0.2">
      <c r="A1162" s="11">
        <v>45526.332731481481</v>
      </c>
      <c r="B1162" s="6">
        <v>5.31</v>
      </c>
      <c r="C1162" s="11">
        <f>WORKDAY(INT($A1162),1,holidays_US!$A:$A)</f>
        <v>45527</v>
      </c>
    </row>
    <row r="1163" spans="1:3" x14ac:dyDescent="0.2">
      <c r="A1163" s="11">
        <v>45527.332870370374</v>
      </c>
      <c r="B1163" s="6">
        <v>5.33</v>
      </c>
      <c r="C1163" s="11">
        <f>WORKDAY(INT($A1163),1,holidays_US!$A:$A)</f>
        <v>45530</v>
      </c>
    </row>
    <row r="1164" spans="1:3" x14ac:dyDescent="0.2">
      <c r="A1164" s="11">
        <v>45530.332743055558</v>
      </c>
      <c r="B1164" s="6">
        <v>5.34</v>
      </c>
      <c r="C1164" s="11">
        <f>WORKDAY(INT($A1164),1,holidays_US!$A:$A)</f>
        <v>45531</v>
      </c>
    </row>
    <row r="1165" spans="1:3" x14ac:dyDescent="0.2">
      <c r="A1165" s="11">
        <v>45531.332766203705</v>
      </c>
      <c r="B1165" s="6">
        <v>5.35</v>
      </c>
      <c r="C1165" s="11">
        <f>WORKDAY(INT($A1165),1,holidays_US!$A:$A)</f>
        <v>45532</v>
      </c>
    </row>
    <row r="1166" spans="1:3" x14ac:dyDescent="0.2">
      <c r="A1166" s="11">
        <v>45532.332881944443</v>
      </c>
      <c r="B1166" s="6">
        <v>5.35</v>
      </c>
      <c r="C1166" s="11">
        <f>WORKDAY(INT($A1166),1,holidays_US!$A:$A)</f>
        <v>45533</v>
      </c>
    </row>
    <row r="1167" spans="1:3" x14ac:dyDescent="0.2">
      <c r="A1167" s="11">
        <v>45533.33284722222</v>
      </c>
      <c r="B1167" s="6">
        <v>5.33</v>
      </c>
      <c r="C1167" s="11">
        <f>WORKDAY(INT($A1167),1,holidays_US!$A:$A)</f>
        <v>45534</v>
      </c>
    </row>
    <row r="1168" spans="1:3" x14ac:dyDescent="0.2">
      <c r="A1168" s="11">
        <v>45534.332754629628</v>
      </c>
      <c r="B1168" s="6">
        <v>5.32</v>
      </c>
      <c r="C1168" s="11">
        <f>WORKDAY(INT($A1168),1,holidays_US!$A:$A)</f>
        <v>45538</v>
      </c>
    </row>
    <row r="1169" spans="1:3" x14ac:dyDescent="0.2">
      <c r="A1169" s="11">
        <v>45538.332835648151</v>
      </c>
      <c r="B1169" s="6">
        <v>5.34</v>
      </c>
      <c r="C1169" s="11">
        <f>WORKDAY(INT($A1169),1,holidays_US!$A:$A)</f>
        <v>45539</v>
      </c>
    </row>
    <row r="1170" spans="1:3" x14ac:dyDescent="0.2">
      <c r="A1170" s="11">
        <v>45539.332766203705</v>
      </c>
      <c r="B1170" s="6">
        <v>5.35</v>
      </c>
      <c r="C1170" s="11">
        <f>WORKDAY(INT($A1170),1,holidays_US!$A:$A)</f>
        <v>45540</v>
      </c>
    </row>
    <row r="1171" spans="1:3" x14ac:dyDescent="0.2">
      <c r="A1171" s="11">
        <v>45540.332835648151</v>
      </c>
      <c r="B1171" s="6">
        <v>5.35</v>
      </c>
      <c r="C1171" s="11">
        <f>WORKDAY(INT($A1171),1,holidays_US!$A:$A)</f>
        <v>45541</v>
      </c>
    </row>
    <row r="1172" spans="1:3" x14ac:dyDescent="0.2">
      <c r="A1172" s="11">
        <v>45541.332916666666</v>
      </c>
      <c r="B1172" s="6">
        <v>5.34</v>
      </c>
      <c r="C1172" s="11">
        <f>WORKDAY(INT($A1172),1,holidays_US!$A:$A)</f>
        <v>45544</v>
      </c>
    </row>
    <row r="1173" spans="1:3" x14ac:dyDescent="0.2">
      <c r="A1173" s="11">
        <v>45544.332881944443</v>
      </c>
      <c r="B1173" s="6">
        <v>5.34</v>
      </c>
      <c r="C1173" s="11">
        <f>WORKDAY(INT($A1173),1,holidays_US!$A:$A)</f>
        <v>45545</v>
      </c>
    </row>
    <row r="1174" spans="1:3" x14ac:dyDescent="0.2">
      <c r="A1174" s="11">
        <v>45545.332928240743</v>
      </c>
      <c r="B1174" s="6">
        <v>5.33</v>
      </c>
      <c r="C1174" s="11">
        <f>WORKDAY(INT($A1174),1,holidays_US!$A:$A)</f>
        <v>45546</v>
      </c>
    </row>
    <row r="1175" spans="1:3" x14ac:dyDescent="0.2">
      <c r="A1175" s="11">
        <v>45546.332870370374</v>
      </c>
      <c r="B1175" s="6">
        <v>5.32</v>
      </c>
      <c r="C1175" s="11">
        <f>WORKDAY(INT($A1175),1,holidays_US!$A:$A)</f>
        <v>45547</v>
      </c>
    </row>
    <row r="1176" spans="1:3" x14ac:dyDescent="0.2">
      <c r="A1176" s="11">
        <v>45547.332858796297</v>
      </c>
      <c r="B1176" s="6">
        <v>5.33</v>
      </c>
      <c r="C1176" s="11">
        <f>WORKDAY(INT($A1176),1,holidays_US!$A:$A)</f>
        <v>45548</v>
      </c>
    </row>
    <row r="1177" spans="1:3" x14ac:dyDescent="0.2">
      <c r="A1177" s="11">
        <v>45548.332789351851</v>
      </c>
      <c r="B1177" s="6">
        <v>5.33</v>
      </c>
      <c r="C1177" s="11">
        <f>WORKDAY(INT($A1177),1,holidays_US!$A:$A)</f>
        <v>45551</v>
      </c>
    </row>
    <row r="1178" spans="1:3" x14ac:dyDescent="0.2">
      <c r="A1178" s="11">
        <v>45551.33284722222</v>
      </c>
      <c r="B1178" s="6">
        <v>5.38</v>
      </c>
      <c r="C1178" s="11">
        <f>WORKDAY(INT($A1178),1,holidays_US!$A:$A)</f>
        <v>45552</v>
      </c>
    </row>
    <row r="1179" spans="1:3" x14ac:dyDescent="0.2">
      <c r="A1179" s="11">
        <v>45552.332766203705</v>
      </c>
      <c r="B1179" s="6">
        <v>5.38</v>
      </c>
      <c r="C1179" s="11">
        <f>WORKDAY(INT($A1179),1,holidays_US!$A:$A)</f>
        <v>45553</v>
      </c>
    </row>
    <row r="1180" spans="1:3" x14ac:dyDescent="0.2">
      <c r="A1180" s="11">
        <v>45553.332800925928</v>
      </c>
      <c r="B1180" s="6">
        <v>5.33</v>
      </c>
      <c r="C1180" s="11">
        <f>WORKDAY(INT($A1180),1,holidays_US!$A:$A)</f>
        <v>45554</v>
      </c>
    </row>
    <row r="1181" spans="1:3" x14ac:dyDescent="0.2">
      <c r="A1181" s="11">
        <v>45554.332766203705</v>
      </c>
      <c r="B1181" s="6">
        <v>4.82</v>
      </c>
      <c r="C1181" s="11">
        <f>WORKDAY(INT($A1181),1,holidays_US!$A:$A)</f>
        <v>45555</v>
      </c>
    </row>
    <row r="1182" spans="1:3" x14ac:dyDescent="0.2">
      <c r="A1182" s="11">
        <v>45555.332835648151</v>
      </c>
      <c r="B1182" s="6">
        <v>4.83</v>
      </c>
      <c r="C1182" s="11">
        <f>WORKDAY(INT($A1182),1,holidays_US!$A:$A)</f>
        <v>45558</v>
      </c>
    </row>
    <row r="1183" spans="1:3" x14ac:dyDescent="0.2">
      <c r="A1183" s="11">
        <v>45558.332766203705</v>
      </c>
      <c r="B1183" s="6">
        <v>4.83</v>
      </c>
      <c r="C1183" s="11">
        <f>WORKDAY(INT($A1183),1,holidays_US!$A:$A)</f>
        <v>45559</v>
      </c>
    </row>
    <row r="1184" spans="1:3" x14ac:dyDescent="0.2">
      <c r="A1184" s="11">
        <v>45559.332870370374</v>
      </c>
      <c r="B1184" s="6">
        <v>4.84</v>
      </c>
      <c r="C1184" s="11">
        <f>WORKDAY(INT($A1184),1,holidays_US!$A:$A)</f>
        <v>45560</v>
      </c>
    </row>
    <row r="1185" spans="1:3" x14ac:dyDescent="0.2">
      <c r="A1185" s="11">
        <v>45560.332743055558</v>
      </c>
      <c r="B1185" s="6">
        <v>4.84</v>
      </c>
      <c r="C1185" s="11">
        <f>WORKDAY(INT($A1185),1,holidays_US!$A:$A)</f>
        <v>45561</v>
      </c>
    </row>
    <row r="1186" spans="1:3" x14ac:dyDescent="0.2">
      <c r="A1186" s="11">
        <v>45561.332824074074</v>
      </c>
      <c r="B1186" s="6">
        <v>4.83</v>
      </c>
      <c r="C1186" s="11">
        <f>WORKDAY(INT($A1186),1,holidays_US!$A:$A)</f>
        <v>45562</v>
      </c>
    </row>
    <row r="1187" spans="1:3" x14ac:dyDescent="0.2">
      <c r="A1187" s="11">
        <v>45562.332754629628</v>
      </c>
      <c r="B1187" s="6">
        <v>4.84</v>
      </c>
      <c r="C1187" s="11">
        <f>WORKDAY(INT($A1187),1,holidays_US!$A:$A)</f>
        <v>45565</v>
      </c>
    </row>
    <row r="1188" spans="1:3" x14ac:dyDescent="0.2">
      <c r="A1188" s="11">
        <v>45565.332789351851</v>
      </c>
      <c r="B1188" s="6">
        <v>4.96</v>
      </c>
      <c r="C1188" s="11">
        <f>WORKDAY(INT($A1188),1,holidays_US!$A:$A)</f>
        <v>45566</v>
      </c>
    </row>
    <row r="1189" spans="1:3" x14ac:dyDescent="0.2">
      <c r="A1189" s="11">
        <v>45566.332777777781</v>
      </c>
      <c r="B1189" s="6">
        <v>5.05</v>
      </c>
      <c r="C1189" s="11">
        <f>WORKDAY(INT($A1189),1,holidays_US!$A:$A)</f>
        <v>45567</v>
      </c>
    </row>
    <row r="1190" spans="1:3" x14ac:dyDescent="0.2">
      <c r="A1190" s="11">
        <v>45567.332800925928</v>
      </c>
      <c r="B1190" s="6">
        <v>4.92</v>
      </c>
      <c r="C1190" s="11">
        <f>WORKDAY(INT($A1190),1,holidays_US!$A:$A)</f>
        <v>45568</v>
      </c>
    </row>
    <row r="1191" spans="1:3" x14ac:dyDescent="0.2">
      <c r="A1191" s="11">
        <v>45568.332777777781</v>
      </c>
      <c r="B1191" s="6">
        <v>4.8499999999999996</v>
      </c>
      <c r="C1191" s="11">
        <f>WORKDAY(INT($A1191),1,holidays_US!$A:$A)</f>
        <v>45569</v>
      </c>
    </row>
    <row r="1192" spans="1:3" x14ac:dyDescent="0.2">
      <c r="A1192" s="11">
        <v>45569.33284722222</v>
      </c>
      <c r="B1192" s="6">
        <v>4.83</v>
      </c>
      <c r="C1192" s="11">
        <f>WORKDAY(INT($A1192),1,holidays_US!$A:$A)</f>
        <v>45572</v>
      </c>
    </row>
    <row r="1193" spans="1:3" x14ac:dyDescent="0.2">
      <c r="A1193" s="11">
        <v>45572.332881944443</v>
      </c>
      <c r="B1193" s="6">
        <v>4.83</v>
      </c>
      <c r="C1193" s="11">
        <f>WORKDAY(INT($A1193),1,holidays_US!$A:$A)</f>
        <v>45573</v>
      </c>
    </row>
    <row r="1194" spans="1:3" x14ac:dyDescent="0.2">
      <c r="A1194" s="11">
        <v>45573.33284722222</v>
      </c>
      <c r="B1194" s="6">
        <v>4.84</v>
      </c>
      <c r="C1194" s="11">
        <f>WORKDAY(INT($A1194),1,holidays_US!$A:$A)</f>
        <v>45574</v>
      </c>
    </row>
    <row r="1195" spans="1:3" x14ac:dyDescent="0.2">
      <c r="A1195" s="11">
        <v>45574.332858796297</v>
      </c>
      <c r="B1195" s="6">
        <v>4.83</v>
      </c>
      <c r="C1195" s="11">
        <f>WORKDAY(INT($A1195),1,holidays_US!$A:$A)</f>
        <v>45575</v>
      </c>
    </row>
    <row r="1196" spans="1:3" x14ac:dyDescent="0.2">
      <c r="A1196" s="11">
        <v>45575.332835648151</v>
      </c>
      <c r="B1196" s="6">
        <v>4.82</v>
      </c>
      <c r="C1196" s="11">
        <f>WORKDAY(INT($A1196),1,holidays_US!$A:$A)</f>
        <v>45576</v>
      </c>
    </row>
    <row r="1197" spans="1:3" x14ac:dyDescent="0.2">
      <c r="A1197" s="11">
        <v>45576.332789351851</v>
      </c>
      <c r="B1197" s="6">
        <v>4.8099999999999996</v>
      </c>
      <c r="C1197" s="11">
        <f>WORKDAY(INT($A1197),1,holidays_US!$A:$A)</f>
        <v>45580</v>
      </c>
    </row>
    <row r="1198" spans="1:3" x14ac:dyDescent="0.2">
      <c r="A1198" s="11">
        <v>45580.332939814813</v>
      </c>
      <c r="B1198" s="6">
        <v>4.8600000000000003</v>
      </c>
      <c r="C1198" s="11">
        <f>WORKDAY(INT($A1198),1,holidays_US!$A:$A)</f>
        <v>45581</v>
      </c>
    </row>
    <row r="1199" spans="1:3" x14ac:dyDescent="0.2">
      <c r="A1199" s="11">
        <v>45581.332789351851</v>
      </c>
      <c r="B1199" s="6">
        <v>4.8600000000000003</v>
      </c>
      <c r="C1199" s="11">
        <f>WORKDAY(INT($A1199),1,holidays_US!$A:$A)</f>
        <v>45582</v>
      </c>
    </row>
    <row r="1200" spans="1:3" x14ac:dyDescent="0.2">
      <c r="A1200" s="11">
        <v>45582.332881944443</v>
      </c>
      <c r="B1200" s="6">
        <v>4.8499999999999996</v>
      </c>
      <c r="C1200" s="11">
        <f>WORKDAY(INT($A1200),1,holidays_US!$A:$A)</f>
        <v>45583</v>
      </c>
    </row>
    <row r="1201" spans="1:3" x14ac:dyDescent="0.2">
      <c r="A1201" s="11">
        <v>45583.332962962966</v>
      </c>
      <c r="B1201" s="6">
        <v>4.84</v>
      </c>
      <c r="C1201" s="11">
        <f>WORKDAY(INT($A1201),1,holidays_US!$A:$A)</f>
        <v>45586</v>
      </c>
    </row>
    <row r="1202" spans="1:3" x14ac:dyDescent="0.2">
      <c r="A1202" s="11">
        <v>45586.332754629628</v>
      </c>
      <c r="B1202" s="6">
        <v>4.82</v>
      </c>
      <c r="C1202" s="11">
        <f>WORKDAY(INT($A1202),1,holidays_US!$A:$A)</f>
        <v>45587</v>
      </c>
    </row>
    <row r="1203" spans="1:3" x14ac:dyDescent="0.2">
      <c r="A1203" s="11">
        <v>45587.332777777781</v>
      </c>
      <c r="B1203" s="6">
        <v>4.83</v>
      </c>
      <c r="C1203" s="11">
        <f>WORKDAY(INT($A1203),1,holidays_US!$A:$A)</f>
        <v>45588</v>
      </c>
    </row>
    <row r="1204" spans="1:3" x14ac:dyDescent="0.2">
      <c r="A1204" s="11">
        <v>45588.332754629628</v>
      </c>
      <c r="B1204" s="6">
        <v>4.83</v>
      </c>
      <c r="C1204" s="11">
        <f>WORKDAY(INT($A1204),1,holidays_US!$A:$A)</f>
        <v>45589</v>
      </c>
    </row>
    <row r="1205" spans="1:3" x14ac:dyDescent="0.2">
      <c r="A1205" s="11">
        <v>45589.332777777781</v>
      </c>
      <c r="B1205" s="6">
        <v>4.83</v>
      </c>
      <c r="C1205" s="11">
        <f>WORKDAY(INT($A1205),1,holidays_US!$A:$A)</f>
        <v>45590</v>
      </c>
    </row>
    <row r="1206" spans="1:3" x14ac:dyDescent="0.2">
      <c r="A1206" s="11">
        <v>45590.332800925928</v>
      </c>
      <c r="B1206" s="6">
        <v>4.83</v>
      </c>
      <c r="C1206" s="11">
        <f>WORKDAY(INT($A1206),1,holidays_US!$A:$A)</f>
        <v>45593</v>
      </c>
    </row>
    <row r="1207" spans="1:3" x14ac:dyDescent="0.2">
      <c r="A1207" s="11">
        <v>45593.332789351851</v>
      </c>
      <c r="B1207" s="6">
        <v>4.82</v>
      </c>
      <c r="C1207" s="11">
        <f>WORKDAY(INT($A1207),1,holidays_US!$A:$A)</f>
        <v>45594</v>
      </c>
    </row>
    <row r="1208" spans="1:3" x14ac:dyDescent="0.2">
      <c r="A1208" s="11">
        <v>45594.332800925928</v>
      </c>
      <c r="B1208" s="6">
        <v>4.82</v>
      </c>
      <c r="C1208" s="11">
        <f>WORKDAY(INT($A1208),1,holidays_US!$A:$A)</f>
        <v>45595</v>
      </c>
    </row>
    <row r="1209" spans="1:3" x14ac:dyDescent="0.2">
      <c r="A1209" s="11">
        <v>45595.332754629628</v>
      </c>
      <c r="B1209" s="6">
        <v>4.8099999999999996</v>
      </c>
      <c r="C1209" s="11">
        <f>WORKDAY(INT($A1209),1,holidays_US!$A:$A)</f>
        <v>45596</v>
      </c>
    </row>
    <row r="1210" spans="1:3" x14ac:dyDescent="0.2">
      <c r="A1210" s="11">
        <v>45596.332789351851</v>
      </c>
      <c r="B1210" s="6">
        <v>4.9000000000000004</v>
      </c>
      <c r="C1210" s="11">
        <f>WORKDAY(INT($A1210),1,holidays_US!$A:$A)</f>
        <v>45597</v>
      </c>
    </row>
    <row r="1211" spans="1:3" x14ac:dyDescent="0.2">
      <c r="A1211" s="11">
        <v>45597.374490740738</v>
      </c>
      <c r="B1211" s="6">
        <v>4.8600000000000003</v>
      </c>
      <c r="C1211" s="11">
        <f>WORKDAY(INT($A1211),1,holidays_US!$A:$A)</f>
        <v>45600</v>
      </c>
    </row>
    <row r="1212" spans="1:3" x14ac:dyDescent="0.2">
      <c r="A1212" s="11">
        <v>45600.332766203705</v>
      </c>
      <c r="B1212" s="6">
        <v>4.82</v>
      </c>
      <c r="C1212" s="11">
        <f>WORKDAY(INT($A1212),1,holidays_US!$A:$A)</f>
        <v>45601</v>
      </c>
    </row>
    <row r="1213" spans="1:3" x14ac:dyDescent="0.2">
      <c r="A1213" s="11">
        <v>45601.332754629628</v>
      </c>
      <c r="B1213" s="6">
        <v>4.82</v>
      </c>
      <c r="C1213" s="11">
        <f>WORKDAY(INT($A1213),1,holidays_US!$A:$A)</f>
        <v>45602</v>
      </c>
    </row>
    <row r="1214" spans="1:3" x14ac:dyDescent="0.2">
      <c r="A1214" s="11">
        <v>45602.332835648151</v>
      </c>
      <c r="B1214" s="6">
        <v>4.8099999999999996</v>
      </c>
      <c r="C1214" s="11">
        <f>WORKDAY(INT($A1214),1,holidays_US!$A:$A)</f>
        <v>45603</v>
      </c>
    </row>
    <row r="1215" spans="1:3" x14ac:dyDescent="0.2">
      <c r="A1215" s="11">
        <v>45603.332800925928</v>
      </c>
      <c r="B1215" s="6">
        <v>4.82</v>
      </c>
      <c r="C1215" s="11">
        <f>WORKDAY(INT($A1215),1,holidays_US!$A:$A)</f>
        <v>45604</v>
      </c>
    </row>
    <row r="1216" spans="1:3" x14ac:dyDescent="0.2">
      <c r="A1216" s="11">
        <v>45604.332951388889</v>
      </c>
      <c r="B1216" s="6">
        <v>4.5999999999999996</v>
      </c>
      <c r="C1216" s="11">
        <f>WORKDAY(INT($A1216),1,holidays_US!$A:$A)</f>
        <v>45608</v>
      </c>
    </row>
    <row r="1217" spans="1:3" x14ac:dyDescent="0.2">
      <c r="A1217" s="11">
        <v>45608.332824074074</v>
      </c>
      <c r="B1217" s="6">
        <v>4.5999999999999996</v>
      </c>
      <c r="C1217" s="11">
        <f>WORKDAY(INT($A1217),1,holidays_US!$A:$A)</f>
        <v>45609</v>
      </c>
    </row>
    <row r="1218" spans="1:3" x14ac:dyDescent="0.2">
      <c r="A1218" s="11">
        <v>45609.332789351851</v>
      </c>
      <c r="B1218" s="6">
        <v>4.59</v>
      </c>
      <c r="C1218" s="11">
        <f>WORKDAY(INT($A1218),1,holidays_US!$A:$A)</f>
        <v>45610</v>
      </c>
    </row>
    <row r="1219" spans="1:3" x14ac:dyDescent="0.2">
      <c r="A1219" s="11">
        <v>45610.332789351851</v>
      </c>
      <c r="B1219" s="6">
        <v>4.58</v>
      </c>
      <c r="C1219" s="11">
        <f>WORKDAY(INT($A1219),1,holidays_US!$A:$A)</f>
        <v>45611</v>
      </c>
    </row>
    <row r="1220" spans="1:3" x14ac:dyDescent="0.2">
      <c r="A1220" s="11">
        <v>45611.332881944443</v>
      </c>
      <c r="B1220" s="6">
        <v>4.57</v>
      </c>
      <c r="C1220" s="11">
        <f>WORKDAY(INT($A1220),1,holidays_US!$A:$A)</f>
        <v>45614</v>
      </c>
    </row>
    <row r="1221" spans="1:3" x14ac:dyDescent="0.2">
      <c r="A1221" s="11">
        <v>45614.33284722222</v>
      </c>
      <c r="B1221" s="6">
        <v>4.57</v>
      </c>
      <c r="C1221" s="11">
        <f>WORKDAY(INT($A1221),1,holidays_US!$A:$A)</f>
        <v>45615</v>
      </c>
    </row>
    <row r="1222" spans="1:3" x14ac:dyDescent="0.2">
      <c r="A1222" s="11">
        <v>45615.332881944443</v>
      </c>
      <c r="B1222" s="6">
        <v>4.57</v>
      </c>
      <c r="C1222" s="11">
        <f>WORKDAY(INT($A1222),1,holidays_US!$A:$A)</f>
        <v>45616</v>
      </c>
    </row>
    <row r="1223" spans="1:3" x14ac:dyDescent="0.2">
      <c r="A1223" s="11">
        <v>45616.332881944443</v>
      </c>
      <c r="B1223" s="6">
        <v>4.5599999999999996</v>
      </c>
      <c r="C1223" s="11">
        <f>WORKDAY(INT($A1223),1,holidays_US!$A:$A)</f>
        <v>45617</v>
      </c>
    </row>
    <row r="1224" spans="1:3" x14ac:dyDescent="0.2">
      <c r="A1224" s="11">
        <v>45617.332974537036</v>
      </c>
      <c r="B1224" s="6">
        <v>4.57</v>
      </c>
      <c r="C1224" s="11">
        <f>WORKDAY(INT($A1224),1,holidays_US!$A:$A)</f>
        <v>45618</v>
      </c>
    </row>
    <row r="1225" spans="1:3" x14ac:dyDescent="0.2">
      <c r="A1225" s="11">
        <v>45618.332800925928</v>
      </c>
      <c r="B1225" s="6">
        <v>4.57</v>
      </c>
      <c r="C1225" s="11">
        <f>WORKDAY(INT($A1225),1,holidays_US!$A:$A)</f>
        <v>45621</v>
      </c>
    </row>
    <row r="1226" spans="1:3" x14ac:dyDescent="0.2">
      <c r="A1226" s="11">
        <v>45621.332870370374</v>
      </c>
      <c r="B1226" s="6">
        <v>4.58</v>
      </c>
      <c r="C1226" s="11">
        <f>WORKDAY(INT($A1226),1,holidays_US!$A:$A)</f>
        <v>45622</v>
      </c>
    </row>
    <row r="1227" spans="1:3" x14ac:dyDescent="0.2">
      <c r="A1227" s="11">
        <v>45622.333553240744</v>
      </c>
      <c r="B1227" s="6">
        <v>4.58</v>
      </c>
      <c r="C1227" s="11">
        <f>WORKDAY(INT($A1227),1,holidays_US!$A:$A)</f>
        <v>45623</v>
      </c>
    </row>
    <row r="1228" spans="1:3" x14ac:dyDescent="0.2">
      <c r="A1228" s="11">
        <v>45623.332766203705</v>
      </c>
      <c r="B1228" s="6">
        <v>4.57</v>
      </c>
      <c r="C1228" s="11">
        <f>WORKDAY(INT($A1228),1,holidays_US!$A:$A)</f>
        <v>45625</v>
      </c>
    </row>
    <row r="1229" spans="1:3" x14ac:dyDescent="0.2">
      <c r="A1229" s="11">
        <v>45625.333472222221</v>
      </c>
      <c r="B1229" s="6">
        <v>4.59</v>
      </c>
      <c r="C1229" s="11">
        <f>WORKDAY(INT($A1229),1,holidays_US!$A:$A)</f>
        <v>45628</v>
      </c>
    </row>
    <row r="1230" spans="1:3" x14ac:dyDescent="0.2">
      <c r="A1230" s="11">
        <v>45628.332754629628</v>
      </c>
      <c r="B1230" s="6">
        <v>4.6399999999999997</v>
      </c>
      <c r="C1230" s="11">
        <f>WORKDAY(INT($A1230),1,holidays_US!$A:$A)</f>
        <v>45629</v>
      </c>
    </row>
    <row r="1231" spans="1:3" x14ac:dyDescent="0.2">
      <c r="A1231" s="11">
        <v>45629.332731481481</v>
      </c>
      <c r="B1231" s="6">
        <v>4.6399999999999997</v>
      </c>
      <c r="C1231" s="11">
        <f>WORKDAY(INT($A1231),1,holidays_US!$A:$A)</f>
        <v>45630</v>
      </c>
    </row>
    <row r="1232" spans="1:3" x14ac:dyDescent="0.2">
      <c r="A1232" s="11">
        <v>45630.332731481481</v>
      </c>
      <c r="B1232" s="6">
        <v>4.59</v>
      </c>
      <c r="C1232" s="11">
        <f>WORKDAY(INT($A1232),1,holidays_US!$A:$A)</f>
        <v>45631</v>
      </c>
    </row>
    <row r="1233" spans="1:3" x14ac:dyDescent="0.2">
      <c r="A1233" s="11">
        <v>45631.332789351851</v>
      </c>
      <c r="B1233" s="6">
        <v>4.59</v>
      </c>
      <c r="C1233" s="11">
        <f>WORKDAY(INT($A1233),1,holidays_US!$A:$A)</f>
        <v>45632</v>
      </c>
    </row>
    <row r="1234" spans="1:3" x14ac:dyDescent="0.2">
      <c r="A1234" s="11">
        <v>45632.332881944443</v>
      </c>
      <c r="B1234" s="6">
        <v>4.5999999999999996</v>
      </c>
      <c r="C1234" s="11">
        <f>WORKDAY(INT($A1234),1,holidays_US!$A:$A)</f>
        <v>45635</v>
      </c>
    </row>
    <row r="1235" spans="1:3" x14ac:dyDescent="0.2">
      <c r="A1235" s="11">
        <v>45635.332870370374</v>
      </c>
      <c r="B1235" s="6">
        <v>4.63</v>
      </c>
      <c r="C1235" s="11">
        <f>WORKDAY(INT($A1235),1,holidays_US!$A:$A)</f>
        <v>45636</v>
      </c>
    </row>
    <row r="1236" spans="1:3" x14ac:dyDescent="0.2">
      <c r="A1236" s="11">
        <v>45636.332812499997</v>
      </c>
      <c r="B1236" s="6">
        <v>4.6399999999999997</v>
      </c>
      <c r="C1236" s="11">
        <f>WORKDAY(INT($A1236),1,holidays_US!$A:$A)</f>
        <v>45637</v>
      </c>
    </row>
    <row r="1237" spans="1:3" x14ac:dyDescent="0.2">
      <c r="A1237" s="11">
        <v>45637.332835648151</v>
      </c>
      <c r="B1237" s="6">
        <v>4.62</v>
      </c>
      <c r="C1237" s="11">
        <f>WORKDAY(INT($A1237),1,holidays_US!$A:$A)</f>
        <v>45638</v>
      </c>
    </row>
    <row r="1238" spans="1:3" x14ac:dyDescent="0.2">
      <c r="A1238" s="11">
        <v>45638.33284722222</v>
      </c>
      <c r="B1238" s="6">
        <v>4.62</v>
      </c>
      <c r="C1238" s="11">
        <f>WORKDAY(INT($A1238),1,holidays_US!$A:$A)</f>
        <v>45639</v>
      </c>
    </row>
    <row r="1239" spans="1:3" x14ac:dyDescent="0.2">
      <c r="A1239" s="11">
        <v>45639.332870370374</v>
      </c>
      <c r="B1239" s="6">
        <v>4.5999999999999996</v>
      </c>
      <c r="C1239" s="11">
        <f>WORKDAY(INT($A1239),1,holidays_US!$A:$A)</f>
        <v>45642</v>
      </c>
    </row>
    <row r="1240" spans="1:3" x14ac:dyDescent="0.2">
      <c r="A1240" s="11">
        <v>45642.332719907405</v>
      </c>
      <c r="B1240" s="6">
        <v>4.6500000000000004</v>
      </c>
      <c r="C1240" s="11">
        <f>WORKDAY(INT($A1240),1,holidays_US!$A:$A)</f>
        <v>45643</v>
      </c>
    </row>
    <row r="1241" spans="1:3" x14ac:dyDescent="0.2">
      <c r="A1241" s="11">
        <v>45643.332743055558</v>
      </c>
      <c r="B1241" s="6">
        <v>4.62</v>
      </c>
      <c r="C1241" s="11">
        <f>WORKDAY(INT($A1241),1,holidays_US!$A:$A)</f>
        <v>45644</v>
      </c>
    </row>
    <row r="1242" spans="1:3" x14ac:dyDescent="0.2">
      <c r="A1242" s="11">
        <v>45644.332754629628</v>
      </c>
      <c r="B1242" s="6">
        <v>4.57</v>
      </c>
      <c r="C1242" s="11">
        <f>WORKDAY(INT($A1242),1,holidays_US!$A:$A)</f>
        <v>45645</v>
      </c>
    </row>
    <row r="1243" spans="1:3" x14ac:dyDescent="0.2">
      <c r="A1243" s="11">
        <v>45645.332708333335</v>
      </c>
      <c r="B1243" s="6">
        <v>4.3</v>
      </c>
      <c r="C1243" s="11">
        <f>WORKDAY(INT($A1243),1,holidays_US!$A:$A)</f>
        <v>45646</v>
      </c>
    </row>
    <row r="1244" spans="1:3" x14ac:dyDescent="0.2">
      <c r="A1244" s="11">
        <v>45646.332754629628</v>
      </c>
      <c r="B1244" s="6">
        <v>4.3</v>
      </c>
      <c r="C1244" s="11">
        <f>WORKDAY(INT($A1244),1,holidays_US!$A:$A)</f>
        <v>45649</v>
      </c>
    </row>
    <row r="1245" spans="1:3" x14ac:dyDescent="0.2">
      <c r="A1245" s="11">
        <v>45649.332708333335</v>
      </c>
      <c r="B1245" s="6">
        <v>4.3099999999999996</v>
      </c>
      <c r="C1245" s="11">
        <f>WORKDAY(INT($A1245),1,holidays_US!$A:$A)</f>
        <v>45650</v>
      </c>
    </row>
    <row r="1246" spans="1:3" x14ac:dyDescent="0.2">
      <c r="A1246" s="11">
        <v>45650.332754629628</v>
      </c>
      <c r="B1246" s="6">
        <v>4.4000000000000004</v>
      </c>
      <c r="C1246" s="11">
        <f>WORKDAY(INT($A1246),1,holidays_US!$A:$A)</f>
        <v>45652</v>
      </c>
    </row>
    <row r="1247" spans="1:3" x14ac:dyDescent="0.2">
      <c r="A1247" s="11">
        <v>45652.332789351851</v>
      </c>
      <c r="B1247" s="6">
        <v>4.53</v>
      </c>
      <c r="C1247" s="11">
        <f>WORKDAY(INT($A1247),1,holidays_US!$A:$A)</f>
        <v>45653</v>
      </c>
    </row>
    <row r="1248" spans="1:3" x14ac:dyDescent="0.2">
      <c r="A1248" s="11">
        <v>45653.332870370374</v>
      </c>
      <c r="B1248" s="6">
        <v>4.46</v>
      </c>
      <c r="C1248" s="11">
        <f>WORKDAY(INT($A1248),1,holidays_US!$A:$A)</f>
        <v>45656</v>
      </c>
    </row>
    <row r="1249" spans="1:3" x14ac:dyDescent="0.2">
      <c r="A1249" s="11">
        <v>45656.332696759258</v>
      </c>
      <c r="B1249" s="6">
        <v>4.37</v>
      </c>
      <c r="C1249" s="11">
        <f>WORKDAY(INT($A1249),1,holidays_US!$A:$A)</f>
        <v>45657</v>
      </c>
    </row>
    <row r="1250" spans="1:3" x14ac:dyDescent="0.2">
      <c r="A1250" s="11">
        <v>45657.332743055558</v>
      </c>
      <c r="B1250" s="6">
        <v>4.49</v>
      </c>
      <c r="C1250" s="11">
        <f>WORKDAY(INT($A1250),1,holidays_US!$A:$A)</f>
        <v>45659</v>
      </c>
    </row>
    <row r="1251" spans="1:3" x14ac:dyDescent="0.2">
      <c r="A1251" s="11">
        <v>45659.332719907405</v>
      </c>
      <c r="B1251" s="6">
        <v>4.4000000000000004</v>
      </c>
      <c r="C1251" s="11">
        <f>WORKDAY(INT($A1251),1,holidays_US!$A:$A)</f>
        <v>45660</v>
      </c>
    </row>
    <row r="1252" spans="1:3" x14ac:dyDescent="0.2">
      <c r="A1252" s="11">
        <v>45660.332962962966</v>
      </c>
      <c r="B1252" s="6">
        <v>4.3099999999999996</v>
      </c>
      <c r="C1252" s="11">
        <f>WORKDAY(INT($A1252),1,holidays_US!$A:$A)</f>
        <v>45663</v>
      </c>
    </row>
    <row r="1253" spans="1:3" x14ac:dyDescent="0.2">
      <c r="A1253" s="11">
        <v>45663.332800925928</v>
      </c>
      <c r="B1253" s="6">
        <v>4.2699999999999996</v>
      </c>
      <c r="C1253" s="11">
        <f>WORKDAY(INT($A1253),1,holidays_US!$A:$A)</f>
        <v>45664</v>
      </c>
    </row>
    <row r="1254" spans="1:3" x14ac:dyDescent="0.2">
      <c r="A1254" s="11">
        <v>45664.332800925928</v>
      </c>
      <c r="B1254" s="6">
        <v>4.2699999999999996</v>
      </c>
      <c r="C1254" s="11">
        <f>WORKDAY(INT($A1254),1,holidays_US!$A:$A)</f>
        <v>45665</v>
      </c>
    </row>
    <row r="1255" spans="1:3" x14ac:dyDescent="0.2">
      <c r="A1255" s="11">
        <v>45665.332777777781</v>
      </c>
      <c r="B1255" s="6">
        <v>4.29</v>
      </c>
      <c r="C1255" s="11">
        <f>WORKDAY(INT($A1255),1,holidays_US!$A:$A)</f>
        <v>45666</v>
      </c>
    </row>
    <row r="1256" spans="1:3" x14ac:dyDescent="0.2">
      <c r="A1256" s="11">
        <v>45666.332743055558</v>
      </c>
      <c r="B1256" s="6">
        <v>4.3</v>
      </c>
      <c r="C1256" s="11">
        <f>WORKDAY(INT($A1256),1,holidays_US!$A:$A)</f>
        <v>45667</v>
      </c>
    </row>
    <row r="1257" spans="1:3" x14ac:dyDescent="0.2">
      <c r="A1257" s="11">
        <v>45667.332731481481</v>
      </c>
      <c r="B1257" s="6">
        <v>4.3</v>
      </c>
      <c r="C1257" s="11">
        <f>WORKDAY(INT($A1257),1,holidays_US!$A:$A)</f>
        <v>45670</v>
      </c>
    </row>
    <row r="1258" spans="1:3" x14ac:dyDescent="0.2">
      <c r="A1258" s="11">
        <v>45670.332777777781</v>
      </c>
      <c r="B1258" s="6">
        <v>4.29</v>
      </c>
      <c r="C1258" s="11">
        <f>WORKDAY(INT($A1258),1,holidays_US!$A:$A)</f>
        <v>45671</v>
      </c>
    </row>
    <row r="1259" spans="1:3" x14ac:dyDescent="0.2">
      <c r="A1259" s="11">
        <v>45671.332777777781</v>
      </c>
      <c r="B1259" s="6">
        <v>4.28</v>
      </c>
      <c r="C1259" s="11">
        <f>WORKDAY(INT($A1259),1,holidays_US!$A:$A)</f>
        <v>45672</v>
      </c>
    </row>
    <row r="1260" spans="1:3" x14ac:dyDescent="0.2">
      <c r="A1260" s="11">
        <v>45672.332766203705</v>
      </c>
      <c r="B1260" s="6">
        <v>4.28</v>
      </c>
      <c r="C1260" s="11">
        <f>WORKDAY(INT($A1260),1,holidays_US!$A:$A)</f>
        <v>45673</v>
      </c>
    </row>
    <row r="1261" spans="1:3" x14ac:dyDescent="0.2">
      <c r="A1261" s="11">
        <v>45673.332766203705</v>
      </c>
      <c r="B1261" s="6">
        <v>4.29</v>
      </c>
      <c r="C1261" s="11">
        <f>WORKDAY(INT($A1261),1,holidays_US!$A:$A)</f>
        <v>45674</v>
      </c>
    </row>
    <row r="1262" spans="1:3" x14ac:dyDescent="0.2">
      <c r="A1262" s="11">
        <v>45674.33284722222</v>
      </c>
      <c r="B1262" s="6">
        <v>4.29</v>
      </c>
      <c r="C1262" s="11">
        <f>WORKDAY(INT($A1262),1,holidays_US!$A:$A)</f>
        <v>45678</v>
      </c>
    </row>
    <row r="1263" spans="1:3" x14ac:dyDescent="0.2">
      <c r="A1263" s="11">
        <v>45678.332835648151</v>
      </c>
      <c r="B1263" s="6">
        <v>4.29</v>
      </c>
      <c r="C1263" s="11">
        <f>WORKDAY(INT($A1263),1,holidays_US!$A:$A)</f>
        <v>45679</v>
      </c>
    </row>
    <row r="1264" spans="1:3" x14ac:dyDescent="0.2">
      <c r="A1264" s="11">
        <v>45679.332870370374</v>
      </c>
      <c r="B1264" s="6">
        <v>4.3</v>
      </c>
      <c r="C1264" s="11">
        <f>WORKDAY(INT($A1264),1,holidays_US!$A:$A)</f>
        <v>45680</v>
      </c>
    </row>
    <row r="1265" spans="1:3" x14ac:dyDescent="0.2">
      <c r="A1265" s="11">
        <v>45680.332789351851</v>
      </c>
      <c r="B1265" s="6">
        <v>4.3499999999999996</v>
      </c>
      <c r="C1265" s="11">
        <f>WORKDAY(INT($A1265),1,holidays_US!$A:$A)</f>
        <v>45681</v>
      </c>
    </row>
    <row r="1266" spans="1:3" x14ac:dyDescent="0.2">
      <c r="A1266" s="11">
        <v>45681.332789351851</v>
      </c>
      <c r="B1266" s="6">
        <v>4.34</v>
      </c>
      <c r="C1266" s="11">
        <f>WORKDAY(INT($A1266),1,holidays_US!$A:$A)</f>
        <v>45684</v>
      </c>
    </row>
    <row r="1267" spans="1:3" x14ac:dyDescent="0.2">
      <c r="A1267" s="11">
        <v>45684.332754629628</v>
      </c>
      <c r="B1267" s="6">
        <v>4.34</v>
      </c>
      <c r="C1267" s="11">
        <f>WORKDAY(INT($A1267),1,holidays_US!$A:$A)</f>
        <v>45685</v>
      </c>
    </row>
    <row r="1268" spans="1:3" x14ac:dyDescent="0.2">
      <c r="A1268" s="11">
        <v>45685.332696759258</v>
      </c>
      <c r="B1268" s="6">
        <v>4.3499999999999996</v>
      </c>
      <c r="C1268" s="11">
        <f>WORKDAY(INT($A1268),1,holidays_US!$A:$A)</f>
        <v>45686</v>
      </c>
    </row>
    <row r="1269" spans="1:3" x14ac:dyDescent="0.2">
      <c r="A1269" s="11">
        <v>45686.332719907405</v>
      </c>
      <c r="B1269" s="6">
        <v>4.3499999999999996</v>
      </c>
      <c r="C1269" s="11">
        <f>WORKDAY(INT($A1269),1,holidays_US!$A:$A)</f>
        <v>45687</v>
      </c>
    </row>
    <row r="1270" spans="1:3" x14ac:dyDescent="0.2">
      <c r="A1270" s="11">
        <v>45687.332754629628</v>
      </c>
      <c r="B1270" s="6">
        <v>4.3600000000000003</v>
      </c>
      <c r="C1270" s="11">
        <f>WORKDAY(INT($A1270),1,holidays_US!$A:$A)</f>
        <v>45688</v>
      </c>
    </row>
    <row r="1271" spans="1:3" x14ac:dyDescent="0.2">
      <c r="A1271" s="11">
        <v>45688.332743055558</v>
      </c>
      <c r="B1271" s="6">
        <v>4.38</v>
      </c>
      <c r="C1271" s="11">
        <f>WORKDAY(INT($A1271),1,holidays_US!$A:$A)</f>
        <v>45691</v>
      </c>
    </row>
    <row r="1272" spans="1:3" x14ac:dyDescent="0.2">
      <c r="A1272" s="11">
        <v>45691.332766203705</v>
      </c>
      <c r="B1272" s="6">
        <v>4.3499999999999996</v>
      </c>
      <c r="C1272" s="11">
        <f>WORKDAY(INT($A1272),1,holidays_US!$A:$A)</f>
        <v>45692</v>
      </c>
    </row>
    <row r="1273" spans="1:3" x14ac:dyDescent="0.2">
      <c r="A1273" s="11">
        <v>45692.332777777781</v>
      </c>
      <c r="B1273" s="6">
        <v>4.33</v>
      </c>
      <c r="C1273" s="11">
        <f>WORKDAY(INT($A1273),1,holidays_US!$A:$A)</f>
        <v>45693</v>
      </c>
    </row>
    <row r="1274" spans="1:3" x14ac:dyDescent="0.2">
      <c r="A1274" s="11">
        <v>45693.332754629628</v>
      </c>
      <c r="B1274" s="6">
        <v>4.33</v>
      </c>
      <c r="C1274" s="11">
        <f>WORKDAY(INT($A1274),1,holidays_US!$A:$A)</f>
        <v>45694</v>
      </c>
    </row>
    <row r="1275" spans="1:3" x14ac:dyDescent="0.2">
      <c r="A1275" s="11">
        <v>45694.332777777781</v>
      </c>
      <c r="B1275" s="6">
        <v>4.3600000000000003</v>
      </c>
      <c r="C1275" s="11">
        <f>WORKDAY(INT($A1275),1,holidays_US!$A:$A)</f>
        <v>45695</v>
      </c>
    </row>
    <row r="1276" spans="1:3" x14ac:dyDescent="0.2">
      <c r="A1276" s="11">
        <v>45695.332766203705</v>
      </c>
      <c r="B1276" s="6">
        <v>4.3499999999999996</v>
      </c>
      <c r="C1276" s="11">
        <f>WORKDAY(INT($A1276),1,holidays_US!$A:$A)</f>
        <v>45698</v>
      </c>
    </row>
    <row r="1277" spans="1:3" x14ac:dyDescent="0.2">
      <c r="A1277" s="11">
        <v>45698.332754629628</v>
      </c>
      <c r="B1277" s="6">
        <v>4.3499999999999996</v>
      </c>
      <c r="C1277" s="11">
        <f>WORKDAY(INT($A1277),1,holidays_US!$A:$A)</f>
        <v>45699</v>
      </c>
    </row>
    <row r="1278" spans="1:3" x14ac:dyDescent="0.2">
      <c r="A1278" s="11">
        <v>45699.332731481481</v>
      </c>
      <c r="B1278" s="6">
        <v>4.34</v>
      </c>
      <c r="C1278" s="11">
        <f>WORKDAY(INT($A1278),1,holidays_US!$A:$A)</f>
        <v>45700</v>
      </c>
    </row>
    <row r="1279" spans="1:3" x14ac:dyDescent="0.2">
      <c r="A1279" s="11">
        <v>45700.332685185182</v>
      </c>
      <c r="B1279" s="6">
        <v>4.32</v>
      </c>
      <c r="C1279" s="11">
        <f>WORKDAY(INT($A1279),1,holidays_US!$A:$A)</f>
        <v>45701</v>
      </c>
    </row>
    <row r="1280" spans="1:3" x14ac:dyDescent="0.2">
      <c r="A1280" s="11">
        <v>45701.332696759258</v>
      </c>
      <c r="B1280" s="6">
        <v>4.33</v>
      </c>
      <c r="C1280" s="11">
        <f>WORKDAY(INT($A1280),1,holidays_US!$A:$A)</f>
        <v>45702</v>
      </c>
    </row>
    <row r="1281" spans="1:3" x14ac:dyDescent="0.2">
      <c r="A1281" s="11">
        <v>45702.332858796297</v>
      </c>
      <c r="B1281" s="6">
        <v>4.33</v>
      </c>
      <c r="C1281" s="11">
        <f>WORKDAY(INT($A1281),1,holidays_US!$A:$A)</f>
        <v>45706</v>
      </c>
    </row>
    <row r="1282" spans="1:3" x14ac:dyDescent="0.2">
      <c r="A1282" s="11">
        <v>45706.33284722222</v>
      </c>
      <c r="B1282" s="6">
        <v>4.37</v>
      </c>
      <c r="C1282" s="11">
        <f>WORKDAY(INT($A1282),1,holidays_US!$A:$A)</f>
        <v>45707</v>
      </c>
    </row>
    <row r="1283" spans="1:3" x14ac:dyDescent="0.2">
      <c r="A1283" s="11">
        <v>45707.332870370374</v>
      </c>
      <c r="B1283" s="6">
        <v>4.3499999999999996</v>
      </c>
      <c r="C1283" s="11">
        <f>WORKDAY(INT($A1283),1,holidays_US!$A:$A)</f>
        <v>45708</v>
      </c>
    </row>
    <row r="1284" spans="1:3" x14ac:dyDescent="0.2">
      <c r="A1284" s="11">
        <v>45708.33284722222</v>
      </c>
      <c r="B1284" s="6">
        <v>4.33</v>
      </c>
      <c r="C1284" s="11">
        <f>WORKDAY(INT($A1284),1,holidays_US!$A:$A)</f>
        <v>45709</v>
      </c>
    </row>
    <row r="1285" spans="1:3" x14ac:dyDescent="0.2">
      <c r="A1285" s="11">
        <v>45709.332777777781</v>
      </c>
      <c r="B1285" s="6">
        <v>4.34</v>
      </c>
      <c r="C1285" s="11">
        <f>WORKDAY(INT($A1285),1,holidays_US!$A:$A)</f>
        <v>45712</v>
      </c>
    </row>
    <row r="1286" spans="1:3" x14ac:dyDescent="0.2">
      <c r="A1286" s="11">
        <v>45712.332766203705</v>
      </c>
      <c r="B1286" s="6">
        <v>4.34</v>
      </c>
      <c r="C1286" s="11">
        <f>WORKDAY(INT($A1286),1,holidays_US!$A:$A)</f>
        <v>45713</v>
      </c>
    </row>
    <row r="1287" spans="1:3" x14ac:dyDescent="0.2">
      <c r="A1287" s="11">
        <v>45713.332743055558</v>
      </c>
      <c r="B1287" s="6">
        <v>4.33</v>
      </c>
      <c r="C1287" s="11">
        <f>WORKDAY(INT($A1287),1,holidays_US!$A:$A)</f>
        <v>45714</v>
      </c>
    </row>
    <row r="1288" spans="1:3" x14ac:dyDescent="0.2">
      <c r="A1288" s="11">
        <v>45714.332766203705</v>
      </c>
      <c r="B1288" s="6">
        <v>4.33</v>
      </c>
      <c r="C1288" s="11">
        <f>WORKDAY(INT($A1288),1,holidays_US!$A:$A)</f>
        <v>45715</v>
      </c>
    </row>
    <row r="1289" spans="1:3" x14ac:dyDescent="0.2">
      <c r="A1289" s="11">
        <v>45715.332800925928</v>
      </c>
      <c r="B1289" s="6">
        <v>4.3600000000000003</v>
      </c>
      <c r="C1289" s="11">
        <f>WORKDAY(INT($A1289),1,holidays_US!$A:$A)</f>
        <v>45716</v>
      </c>
    </row>
    <row r="1290" spans="1:3" x14ac:dyDescent="0.2">
      <c r="A1290" s="11">
        <v>45716.332824074074</v>
      </c>
      <c r="B1290" s="6">
        <v>4.3899999999999997</v>
      </c>
      <c r="C1290" s="11">
        <f>WORKDAY(INT($A1290),1,holidays_US!$A:$A)</f>
        <v>45719</v>
      </c>
    </row>
    <row r="1291" spans="1:3" x14ac:dyDescent="0.2">
      <c r="A1291" s="11">
        <v>45719.332858796297</v>
      </c>
      <c r="B1291" s="6">
        <v>4.33</v>
      </c>
      <c r="C1291" s="11">
        <f>WORKDAY(INT($A1291),1,holidays_US!$A:$A)</f>
        <v>45720</v>
      </c>
    </row>
    <row r="1292" spans="1:3" x14ac:dyDescent="0.2">
      <c r="A1292" s="11">
        <v>45720.332835648151</v>
      </c>
      <c r="B1292" s="6">
        <v>4.33</v>
      </c>
      <c r="C1292" s="11">
        <f>WORKDAY(INT($A1292),1,holidays_US!$A:$A)</f>
        <v>45721</v>
      </c>
    </row>
    <row r="1293" spans="1:3" x14ac:dyDescent="0.2">
      <c r="A1293" s="11">
        <v>45721.332881944443</v>
      </c>
      <c r="B1293" s="6">
        <v>4.34</v>
      </c>
      <c r="C1293" s="11">
        <f>WORKDAY(INT($A1293),1,holidays_US!$A:$A)</f>
        <v>45722</v>
      </c>
    </row>
    <row r="1294" spans="1:3" x14ac:dyDescent="0.2">
      <c r="A1294" s="11">
        <v>45722.332800925928</v>
      </c>
      <c r="B1294" s="6">
        <v>4.3499999999999996</v>
      </c>
      <c r="C1294" s="11">
        <f>WORKDAY(INT($A1294),1,holidays_US!$A:$A)</f>
        <v>45723</v>
      </c>
    </row>
    <row r="1295" spans="1:3" x14ac:dyDescent="0.2">
      <c r="A1295" s="11">
        <v>45723.29109953704</v>
      </c>
      <c r="B1295" s="6">
        <v>4.34</v>
      </c>
      <c r="C1295" s="11">
        <f>WORKDAY(INT($A1295),1,holidays_US!$A:$A)</f>
        <v>45726</v>
      </c>
    </row>
    <row r="1296" spans="1:3" x14ac:dyDescent="0.2">
      <c r="A1296" s="11">
        <v>45726.332766203705</v>
      </c>
      <c r="B1296" s="6">
        <v>4.33</v>
      </c>
      <c r="C1296" s="11">
        <f>WORKDAY(INT($A1296),1,holidays_US!$A:$A)</f>
        <v>45727</v>
      </c>
    </row>
    <row r="1297" spans="1:3" x14ac:dyDescent="0.2">
      <c r="A1297" s="11">
        <v>45727.332754629628</v>
      </c>
      <c r="B1297" s="6">
        <v>4.32</v>
      </c>
      <c r="C1297" s="11">
        <f>WORKDAY(INT($A1297),1,holidays_US!$A:$A)</f>
        <v>45728</v>
      </c>
    </row>
    <row r="1298" spans="1:3" x14ac:dyDescent="0.2">
      <c r="A1298" s="11">
        <v>45728.332731481481</v>
      </c>
      <c r="B1298" s="6">
        <v>4.3099999999999996</v>
      </c>
      <c r="C1298" s="11">
        <f>WORKDAY(INT($A1298),1,holidays_US!$A:$A)</f>
        <v>45729</v>
      </c>
    </row>
    <row r="1299" spans="1:3" x14ac:dyDescent="0.2">
      <c r="A1299" s="11">
        <v>45729.332754629628</v>
      </c>
      <c r="B1299" s="6">
        <v>4.3</v>
      </c>
      <c r="C1299" s="11">
        <f>WORKDAY(INT($A1299),1,holidays_US!$A:$A)</f>
        <v>45730</v>
      </c>
    </row>
    <row r="1300" spans="1:3" x14ac:dyDescent="0.2">
      <c r="A1300" s="11">
        <v>45730.332800925928</v>
      </c>
      <c r="B1300" s="6">
        <v>4.3</v>
      </c>
      <c r="C1300" s="11">
        <f>WORKDAY(INT($A1300),1,holidays_US!$A:$A)</f>
        <v>45733</v>
      </c>
    </row>
    <row r="1301" spans="1:3" x14ac:dyDescent="0.2">
      <c r="A1301" s="11">
        <v>45733.332789351851</v>
      </c>
      <c r="B1301" s="6">
        <v>4.32</v>
      </c>
      <c r="C1301" s="11">
        <f>WORKDAY(INT($A1301),1,holidays_US!$A:$A)</f>
        <v>45734</v>
      </c>
    </row>
    <row r="1302" spans="1:3" x14ac:dyDescent="0.2">
      <c r="A1302" s="11">
        <v>45734.332835648151</v>
      </c>
      <c r="B1302" s="6">
        <v>4.3099999999999996</v>
      </c>
      <c r="C1302" s="11">
        <f>WORKDAY(INT($A1302),1,holidays_US!$A:$A)</f>
        <v>45735</v>
      </c>
    </row>
    <row r="1303" spans="1:3" x14ac:dyDescent="0.2">
      <c r="A1303" s="11">
        <v>45735.332754629628</v>
      </c>
      <c r="B1303" s="6">
        <v>4.29</v>
      </c>
      <c r="C1303" s="11">
        <f>WORKDAY(INT($A1303),1,holidays_US!$A:$A)</f>
        <v>45736</v>
      </c>
    </row>
    <row r="1304" spans="1:3" x14ac:dyDescent="0.2">
      <c r="A1304" s="11">
        <v>45736.332812499997</v>
      </c>
      <c r="B1304" s="6">
        <v>4.29</v>
      </c>
      <c r="C1304" s="11">
        <f>WORKDAY(INT($A1304),1,holidays_US!$A:$A)</f>
        <v>45737</v>
      </c>
    </row>
    <row r="1305" spans="1:3" x14ac:dyDescent="0.2">
      <c r="A1305" s="11">
        <v>45737.332754629628</v>
      </c>
      <c r="B1305" s="6">
        <v>4.3</v>
      </c>
      <c r="C1305" s="11">
        <f>WORKDAY(INT($A1305),1,holidays_US!$A:$A)</f>
        <v>45740</v>
      </c>
    </row>
    <row r="1306" spans="1:3" x14ac:dyDescent="0.2">
      <c r="A1306" s="11">
        <v>45740.332731481481</v>
      </c>
      <c r="B1306" s="6">
        <v>4.3099999999999996</v>
      </c>
      <c r="C1306" s="11">
        <f>WORKDAY(INT($A1306),1,holidays_US!$A:$A)</f>
        <v>45741</v>
      </c>
    </row>
    <row r="1307" spans="1:3" x14ac:dyDescent="0.2">
      <c r="A1307" s="11">
        <v>45741.332766203705</v>
      </c>
      <c r="B1307" s="6">
        <v>4.33</v>
      </c>
      <c r="C1307" s="11">
        <f>WORKDAY(INT($A1307),1,holidays_US!$A:$A)</f>
        <v>45742</v>
      </c>
    </row>
    <row r="1308" spans="1:3" x14ac:dyDescent="0.2">
      <c r="A1308" s="11">
        <v>45742.332777777781</v>
      </c>
      <c r="B1308" s="6">
        <v>4.3499999999999996</v>
      </c>
      <c r="C1308" s="11">
        <f>WORKDAY(INT($A1308),1,holidays_US!$A:$A)</f>
        <v>45743</v>
      </c>
    </row>
    <row r="1309" spans="1:3" x14ac:dyDescent="0.2">
      <c r="A1309" s="11">
        <v>45743.332812499997</v>
      </c>
      <c r="B1309" s="6">
        <v>4.3600000000000003</v>
      </c>
      <c r="C1309" s="11">
        <f>WORKDAY(INT($A1309),1,holidays_US!$A:$A)</f>
        <v>45744</v>
      </c>
    </row>
    <row r="1310" spans="1:3" x14ac:dyDescent="0.2">
      <c r="A1310" s="11">
        <v>45744.332766203705</v>
      </c>
      <c r="B1310" s="6">
        <v>4.34</v>
      </c>
      <c r="C1310" s="11">
        <f>WORKDAY(INT($A1310),1,holidays_US!$A:$A)</f>
        <v>45747</v>
      </c>
    </row>
    <row r="1311" spans="1:3" x14ac:dyDescent="0.2">
      <c r="A1311" s="11">
        <v>45747.332743055558</v>
      </c>
      <c r="B1311" s="6">
        <v>4.41</v>
      </c>
      <c r="C1311" s="11">
        <f>WORKDAY(INT($A1311),1,holidays_US!$A:$A)</f>
        <v>45748</v>
      </c>
    </row>
    <row r="1312" spans="1:3" x14ac:dyDescent="0.2">
      <c r="A1312" s="11">
        <v>45748.332766203705</v>
      </c>
      <c r="B1312" s="6">
        <v>4.3899999999999997</v>
      </c>
      <c r="C1312" s="11">
        <f>WORKDAY(INT($A1312),1,holidays_US!$A:$A)</f>
        <v>45749</v>
      </c>
    </row>
    <row r="1313" spans="1:3" x14ac:dyDescent="0.2">
      <c r="A1313" s="11">
        <v>45749.332754629628</v>
      </c>
      <c r="B1313" s="6">
        <v>4.37</v>
      </c>
      <c r="C1313" s="11">
        <f>WORKDAY(INT($A1313),1,holidays_US!$A:$A)</f>
        <v>45750</v>
      </c>
    </row>
    <row r="1314" spans="1:3" x14ac:dyDescent="0.2">
      <c r="A1314" s="11">
        <v>45750.332719907405</v>
      </c>
      <c r="B1314" s="6">
        <v>4.3899999999999997</v>
      </c>
      <c r="C1314" s="11">
        <f>WORKDAY(INT($A1314),1,holidays_US!$A:$A)</f>
        <v>45751</v>
      </c>
    </row>
    <row r="1315" spans="1:3" x14ac:dyDescent="0.2">
      <c r="A1315" s="11">
        <v>45751.332777777781</v>
      </c>
      <c r="B1315" s="6">
        <v>4.3499999999999996</v>
      </c>
      <c r="C1315" s="11">
        <f>WORKDAY(INT($A1315),1,holidays_US!$A:$A)</f>
        <v>45754</v>
      </c>
    </row>
    <row r="1316" spans="1:3" x14ac:dyDescent="0.2">
      <c r="A1316" s="11">
        <v>45754.332800925928</v>
      </c>
      <c r="B1316" s="6">
        <v>4.33</v>
      </c>
      <c r="C1316" s="11">
        <f>WORKDAY(INT($A1316),1,holidays_US!$A:$A)</f>
        <v>45755</v>
      </c>
    </row>
    <row r="1317" spans="1:3" x14ac:dyDescent="0.2">
      <c r="A1317" s="11">
        <v>45755.332766203705</v>
      </c>
      <c r="B1317" s="6">
        <v>4.4000000000000004</v>
      </c>
      <c r="C1317" s="11">
        <f>WORKDAY(INT($A1317),1,holidays_US!$A:$A)</f>
        <v>45756</v>
      </c>
    </row>
    <row r="1318" spans="1:3" x14ac:dyDescent="0.2">
      <c r="A1318" s="11">
        <v>45756.332743055558</v>
      </c>
      <c r="B1318" s="6">
        <v>4.42</v>
      </c>
      <c r="C1318" s="11">
        <f>WORKDAY(INT($A1318),1,holidays_US!$A:$A)</f>
        <v>45757</v>
      </c>
    </row>
    <row r="1319" spans="1:3" x14ac:dyDescent="0.2">
      <c r="A1319" s="11">
        <v>45757.332766203705</v>
      </c>
      <c r="B1319" s="6">
        <v>4.37</v>
      </c>
      <c r="C1319" s="11">
        <f>WORKDAY(INT($A1319),1,holidays_US!$A:$A)</f>
        <v>45758</v>
      </c>
    </row>
    <row r="1320" spans="1:3" x14ac:dyDescent="0.2">
      <c r="A1320" s="11">
        <v>45758.332766203705</v>
      </c>
      <c r="B1320" s="6">
        <v>4.33</v>
      </c>
      <c r="C1320" s="11">
        <f>WORKDAY(INT($A1320),1,holidays_US!$A:$A)</f>
        <v>45761</v>
      </c>
    </row>
    <row r="1321" spans="1:3" x14ac:dyDescent="0.2">
      <c r="A1321" s="11">
        <v>45761.332719907405</v>
      </c>
      <c r="B1321" s="6">
        <v>4.33</v>
      </c>
      <c r="C1321" s="11">
        <f>WORKDAY(INT($A1321),1,holidays_US!$A:$A)</f>
        <v>45762</v>
      </c>
    </row>
    <row r="1322" spans="1:3" x14ac:dyDescent="0.2">
      <c r="A1322" s="11">
        <v>45762.332731481481</v>
      </c>
      <c r="B1322" s="6">
        <v>4.3600000000000003</v>
      </c>
      <c r="C1322" s="11">
        <f>WORKDAY(INT($A1322),1,holidays_US!$A:$A)</f>
        <v>45763</v>
      </c>
    </row>
    <row r="1323" spans="1:3" x14ac:dyDescent="0.2">
      <c r="A1323" s="11">
        <v>45763.332743055558</v>
      </c>
      <c r="B1323" s="6">
        <v>4.3099999999999996</v>
      </c>
      <c r="C1323" s="11">
        <f>WORKDAY(INT($A1323),1,holidays_US!$A:$A)</f>
        <v>45764</v>
      </c>
    </row>
    <row r="1324" spans="1:3" x14ac:dyDescent="0.2">
      <c r="A1324" s="11">
        <v>45764.332766203705</v>
      </c>
      <c r="B1324" s="6">
        <v>4.32</v>
      </c>
      <c r="C1324" s="11">
        <f>WORKDAY(INT($A1324),1,holidays_US!$A:$A)</f>
        <v>45765</v>
      </c>
    </row>
    <row r="1325" spans="1:3" x14ac:dyDescent="0.2">
      <c r="A1325" s="11">
        <v>45768.332719907405</v>
      </c>
      <c r="B1325" s="6">
        <v>4.32</v>
      </c>
      <c r="C1325" s="11">
        <f>WORKDAY(INT($A1325),1,holidays_US!$A:$A)</f>
        <v>45769</v>
      </c>
    </row>
    <row r="1326" spans="1:3" x14ac:dyDescent="0.2">
      <c r="A1326" s="11">
        <v>45769.332766203705</v>
      </c>
      <c r="B1326" s="6">
        <v>4.3</v>
      </c>
      <c r="C1326" s="11">
        <f>WORKDAY(INT($A1326),1,holidays_US!$A:$A)</f>
        <v>45770</v>
      </c>
    </row>
    <row r="1327" spans="1:3" x14ac:dyDescent="0.2">
      <c r="A1327" s="11">
        <v>45770.332719907405</v>
      </c>
      <c r="B1327" s="6">
        <v>4.28</v>
      </c>
      <c r="C1327" s="11">
        <f>WORKDAY(INT($A1327),1,holidays_US!$A:$A)</f>
        <v>45771</v>
      </c>
    </row>
    <row r="1328" spans="1:3" x14ac:dyDescent="0.2">
      <c r="A1328" s="11">
        <v>45771.332789351851</v>
      </c>
      <c r="B1328" s="6">
        <v>4.29</v>
      </c>
      <c r="C1328" s="11">
        <f>WORKDAY(INT($A1328),1,holidays_US!$A:$A)</f>
        <v>45772</v>
      </c>
    </row>
    <row r="1329" spans="1:3" x14ac:dyDescent="0.2">
      <c r="A1329" s="11">
        <v>45772.332858796297</v>
      </c>
      <c r="B1329" s="6">
        <v>4.33</v>
      </c>
      <c r="C1329" s="11">
        <f>WORKDAY(INT($A1329),1,holidays_US!$A:$A)</f>
        <v>45775</v>
      </c>
    </row>
    <row r="1330" spans="1:3" x14ac:dyDescent="0.2">
      <c r="A1330" s="11">
        <v>45775.33284722222</v>
      </c>
      <c r="B1330" s="6">
        <v>4.3600000000000003</v>
      </c>
      <c r="C1330" s="11">
        <f>WORKDAY(INT($A1330),1,holidays_US!$A:$A)</f>
        <v>45776</v>
      </c>
    </row>
    <row r="1331" spans="1:3" x14ac:dyDescent="0.2">
      <c r="A1331" s="11">
        <v>45776.33284722222</v>
      </c>
      <c r="B1331" s="6">
        <v>4.3600000000000003</v>
      </c>
      <c r="C1331" s="11">
        <f>WORKDAY(INT($A1331),1,holidays_US!$A:$A)</f>
        <v>45777</v>
      </c>
    </row>
    <row r="1332" spans="1:3" x14ac:dyDescent="0.2">
      <c r="A1332" s="11">
        <v>45777.332743055558</v>
      </c>
      <c r="B1332" s="6">
        <v>4.41</v>
      </c>
      <c r="C1332" s="11">
        <f>WORKDAY(INT($A1332),1,holidays_US!$A:$A)</f>
        <v>45778</v>
      </c>
    </row>
    <row r="1333" spans="1:3" x14ac:dyDescent="0.2">
      <c r="A1333" s="11">
        <v>45778.332835648151</v>
      </c>
      <c r="B1333" s="6">
        <v>4.3899999999999997</v>
      </c>
      <c r="C1333" s="11">
        <f>WORKDAY(INT($A1333),1,holidays_US!$A:$A)</f>
        <v>45779</v>
      </c>
    </row>
    <row r="1334" spans="1:3" x14ac:dyDescent="0.2">
      <c r="A1334" s="11">
        <v>45779.332731481481</v>
      </c>
      <c r="B1334" s="6">
        <v>4.3600000000000003</v>
      </c>
      <c r="C1334" s="11">
        <f>WORKDAY(INT($A1334),1,holidays_US!$A:$A)</f>
        <v>45782</v>
      </c>
    </row>
    <row r="1335" spans="1:3" x14ac:dyDescent="0.2">
      <c r="A1335" s="11">
        <v>45782.332731481481</v>
      </c>
      <c r="B1335" s="6">
        <v>4.33</v>
      </c>
      <c r="C1335" s="11">
        <f>WORKDAY(INT($A1335),1,holidays_US!$A:$A)</f>
        <v>45783</v>
      </c>
    </row>
    <row r="1336" spans="1:3" x14ac:dyDescent="0.2">
      <c r="A1336" s="11">
        <v>45783.332766203705</v>
      </c>
      <c r="B1336" s="6">
        <v>4.32</v>
      </c>
      <c r="C1336" s="11">
        <f>WORKDAY(INT($A1336),1,holidays_US!$A:$A)</f>
        <v>45784</v>
      </c>
    </row>
    <row r="1337" spans="1:3" x14ac:dyDescent="0.2">
      <c r="A1337" s="11">
        <v>45784.332754629628</v>
      </c>
      <c r="B1337" s="6">
        <v>4.3</v>
      </c>
      <c r="C1337" s="11">
        <f>WORKDAY(INT($A1337),1,holidays_US!$A:$A)</f>
        <v>45785</v>
      </c>
    </row>
    <row r="1338" spans="1:3" x14ac:dyDescent="0.2">
      <c r="A1338" s="11">
        <v>45785.332777777781</v>
      </c>
      <c r="B1338" s="6">
        <v>4.29</v>
      </c>
      <c r="C1338" s="11">
        <f>WORKDAY(INT($A1338),1,holidays_US!$A:$A)</f>
        <v>45786</v>
      </c>
    </row>
    <row r="1339" spans="1:3" x14ac:dyDescent="0.2">
      <c r="A1339" s="11">
        <v>45786.333113425928</v>
      </c>
      <c r="B1339" s="6">
        <v>4.28</v>
      </c>
      <c r="C1339" s="11">
        <f>WORKDAY(INT($A1339),1,holidays_US!$A:$A)</f>
        <v>45789</v>
      </c>
    </row>
    <row r="1340" spans="1:3" x14ac:dyDescent="0.2">
      <c r="A1340" s="11">
        <v>45789.332951388889</v>
      </c>
      <c r="B1340" s="6">
        <v>4.28</v>
      </c>
      <c r="C1340" s="11">
        <f>WORKDAY(INT($A1340),1,holidays_US!$A:$A)</f>
        <v>45790</v>
      </c>
    </row>
    <row r="1341" spans="1:3" x14ac:dyDescent="0.2">
      <c r="A1341" s="11">
        <v>45790.333020833335</v>
      </c>
      <c r="B1341" s="6">
        <v>4.3</v>
      </c>
      <c r="C1341" s="11">
        <f>WORKDAY(INT($A1341),1,holidays_US!$A:$A)</f>
        <v>45791</v>
      </c>
    </row>
    <row r="1342" spans="1:3" x14ac:dyDescent="0.2">
      <c r="A1342" s="11">
        <v>45791.333090277774</v>
      </c>
      <c r="B1342" s="6">
        <v>4.29</v>
      </c>
      <c r="C1342" s="11">
        <f>WORKDAY(INT($A1342),1,holidays_US!$A:$A)</f>
        <v>45792</v>
      </c>
    </row>
    <row r="1343" spans="1:3" x14ac:dyDescent="0.2">
      <c r="A1343" s="11">
        <v>45792.333171296297</v>
      </c>
      <c r="B1343" s="6">
        <v>4.3099999999999996</v>
      </c>
      <c r="C1343" s="11">
        <f>WORKDAY(INT($A1343),1,holidays_US!$A:$A)</f>
        <v>45793</v>
      </c>
    </row>
    <row r="1344" spans="1:3" x14ac:dyDescent="0.2">
      <c r="A1344" s="11">
        <v>45793.333020833335</v>
      </c>
      <c r="B1344" s="6">
        <v>4.3</v>
      </c>
      <c r="C1344" s="11">
        <f>WORKDAY(INT($A1344),1,holidays_US!$A:$A)</f>
        <v>45796</v>
      </c>
    </row>
    <row r="1345" spans="1:3" x14ac:dyDescent="0.2">
      <c r="A1345" s="11">
        <v>45796.332916666666</v>
      </c>
      <c r="B1345" s="6">
        <v>4.29</v>
      </c>
      <c r="C1345" s="11">
        <f>WORKDAY(INT($A1345),1,holidays_US!$A:$A)</f>
        <v>45797</v>
      </c>
    </row>
    <row r="1346" spans="1:3" x14ac:dyDescent="0.2">
      <c r="A1346" s="11">
        <v>45797.333101851851</v>
      </c>
      <c r="B1346" s="6">
        <v>4.2699999999999996</v>
      </c>
      <c r="C1346" s="11">
        <f>WORKDAY(INT($A1346),1,holidays_US!$A:$A)</f>
        <v>45798</v>
      </c>
    </row>
    <row r="1347" spans="1:3" x14ac:dyDescent="0.2">
      <c r="A1347" s="11">
        <v>45798.33315972222</v>
      </c>
      <c r="B1347" s="6">
        <v>4.26</v>
      </c>
      <c r="C1347" s="11">
        <f>WORKDAY(INT($A1347),1,holidays_US!$A:$A)</f>
        <v>45799</v>
      </c>
    </row>
    <row r="1348" spans="1:3" x14ac:dyDescent="0.2">
      <c r="A1348" s="11">
        <v>45799.333009259259</v>
      </c>
      <c r="B1348" s="6">
        <v>4.26</v>
      </c>
      <c r="C1348" s="11">
        <f>WORKDAY(INT($A1348),1,holidays_US!$A:$A)</f>
        <v>45800</v>
      </c>
    </row>
    <row r="1349" spans="1:3" x14ac:dyDescent="0.2">
      <c r="A1349" s="11">
        <v>45800.333101851851</v>
      </c>
      <c r="B1349" s="6">
        <v>4.26</v>
      </c>
      <c r="C1349" s="11">
        <f>WORKDAY(INT($A1349),1,holidays_US!$A:$A)</f>
        <v>45804</v>
      </c>
    </row>
    <row r="1350" spans="1:3" x14ac:dyDescent="0.2">
      <c r="A1350" s="11">
        <v>45804.332939814813</v>
      </c>
      <c r="B1350" s="6">
        <v>4.3099999999999996</v>
      </c>
      <c r="C1350" s="11">
        <f>WORKDAY(INT($A1350),1,holidays_US!$A:$A)</f>
        <v>45805</v>
      </c>
    </row>
    <row r="1351" spans="1:3" x14ac:dyDescent="0.2">
      <c r="A1351" s="11">
        <v>45805.333055555559</v>
      </c>
      <c r="B1351" s="6">
        <v>4.33</v>
      </c>
      <c r="C1351" s="11">
        <f>WORKDAY(INT($A1351),1,holidays_US!$A:$A)</f>
        <v>45806</v>
      </c>
    </row>
    <row r="1352" spans="1:3" x14ac:dyDescent="0.2">
      <c r="A1352" s="11">
        <v>45806.333055555559</v>
      </c>
      <c r="B1352" s="6">
        <v>4.33</v>
      </c>
      <c r="C1352" s="11">
        <f>WORKDAY(INT($A1352),1,holidays_US!$A:$A)</f>
        <v>45807</v>
      </c>
    </row>
    <row r="1353" spans="1:3" x14ac:dyDescent="0.2">
      <c r="A1353" s="11">
        <v>45807.333414351851</v>
      </c>
      <c r="B1353" s="6">
        <v>4.3499999999999996</v>
      </c>
      <c r="C1353" s="11">
        <f>WORKDAY(INT($A1353),1,holidays_US!$A:$A)</f>
        <v>45810</v>
      </c>
    </row>
    <row r="1354" spans="1:3" x14ac:dyDescent="0.2">
      <c r="A1354" s="11">
        <v>45810.333043981482</v>
      </c>
      <c r="B1354" s="6">
        <v>4.3499999999999996</v>
      </c>
      <c r="C1354" s="11">
        <f>WORKDAY(INT($A1354),1,holidays_US!$A:$A)</f>
        <v>45811</v>
      </c>
    </row>
    <row r="1355" spans="1:3" x14ac:dyDescent="0.2">
      <c r="A1355" s="11">
        <v>45811.333067129628</v>
      </c>
      <c r="B1355" s="6">
        <v>4.32</v>
      </c>
      <c r="C1355" s="11">
        <f>WORKDAY(INT($A1355),1,holidays_US!$A:$A)</f>
        <v>45812</v>
      </c>
    </row>
    <row r="1356" spans="1:3" x14ac:dyDescent="0.2">
      <c r="A1356" s="11">
        <v>45812.333078703705</v>
      </c>
      <c r="B1356" s="6">
        <v>4.28</v>
      </c>
      <c r="C1356" s="11">
        <f>WORKDAY(INT($A1356),1,holidays_US!$A:$A)</f>
        <v>45813</v>
      </c>
    </row>
    <row r="1357" spans="1:3" x14ac:dyDescent="0.2">
      <c r="A1357" s="11">
        <v>45813.333043981482</v>
      </c>
      <c r="B1357" s="6">
        <v>4.29</v>
      </c>
      <c r="C1357" s="11">
        <f>WORKDAY(INT($A1357),1,holidays_US!$A:$A)</f>
        <v>45814</v>
      </c>
    </row>
    <row r="1358" spans="1:3" x14ac:dyDescent="0.2">
      <c r="A1358" s="11">
        <v>45814.332951388889</v>
      </c>
      <c r="B1358" s="6">
        <v>4.29</v>
      </c>
      <c r="C1358" s="11">
        <f>WORKDAY(INT($A1358),1,holidays_US!$A:$A)</f>
        <v>45817</v>
      </c>
    </row>
    <row r="1359" spans="1:3" x14ac:dyDescent="0.2">
      <c r="A1359" s="11">
        <v>45817.333113425928</v>
      </c>
      <c r="B1359" s="6">
        <v>4.29</v>
      </c>
      <c r="C1359" s="11">
        <f>WORKDAY(INT($A1359),1,holidays_US!$A:$A)</f>
        <v>45818</v>
      </c>
    </row>
    <row r="1360" spans="1:3" x14ac:dyDescent="0.2">
      <c r="A1360" s="11">
        <v>45818.333124999997</v>
      </c>
      <c r="B1360" s="6">
        <v>4.28</v>
      </c>
      <c r="C1360" s="11">
        <f>WORKDAY(INT($A1360),1,holidays_US!$A:$A)</f>
        <v>45819</v>
      </c>
    </row>
    <row r="1361" spans="1:3" x14ac:dyDescent="0.2">
      <c r="A1361" s="11">
        <v>45819.332951388889</v>
      </c>
      <c r="B1361" s="6">
        <v>4.28</v>
      </c>
      <c r="C1361" s="11">
        <f>WORKDAY(INT($A1361),1,holidays_US!$A:$A)</f>
        <v>45820</v>
      </c>
    </row>
    <row r="1362" spans="1:3" x14ac:dyDescent="0.2">
      <c r="A1362" s="11">
        <v>45820.333090277774</v>
      </c>
      <c r="B1362" s="6">
        <v>4.28</v>
      </c>
      <c r="C1362" s="11">
        <f>WORKDAY(INT($A1362),1,holidays_US!$A:$A)</f>
        <v>45821</v>
      </c>
    </row>
    <row r="1363" spans="1:3" x14ac:dyDescent="0.2">
      <c r="A1363" s="11">
        <v>45821.332951388889</v>
      </c>
      <c r="B1363" s="6">
        <v>4.28</v>
      </c>
      <c r="C1363" s="11">
        <f>WORKDAY(INT($A1363),1,holidays_US!$A:$A)</f>
        <v>45824</v>
      </c>
    </row>
    <row r="1364" spans="1:3" x14ac:dyDescent="0.2">
      <c r="A1364" s="11">
        <v>45824.332939814813</v>
      </c>
      <c r="B1364" s="6">
        <v>4.32</v>
      </c>
      <c r="C1364" s="11">
        <f>WORKDAY(INT($A1364),1,holidays_US!$A:$A)</f>
        <v>45825</v>
      </c>
    </row>
    <row r="1365" spans="1:3" x14ac:dyDescent="0.2">
      <c r="A1365" s="11">
        <v>45825.333055555559</v>
      </c>
      <c r="B1365" s="6">
        <v>4.3099999999999996</v>
      </c>
      <c r="C1365" s="11">
        <f>WORKDAY(INT($A1365),1,holidays_US!$A:$A)</f>
        <v>45826</v>
      </c>
    </row>
    <row r="1366" spans="1:3" x14ac:dyDescent="0.2">
      <c r="A1366" s="11">
        <v>45826.333113425928</v>
      </c>
      <c r="B1366" s="6">
        <v>4.28</v>
      </c>
      <c r="C1366" s="11">
        <f>WORKDAY(INT($A1366),1,holidays_US!$A:$A)</f>
        <v>45828</v>
      </c>
    </row>
    <row r="1367" spans="1:3" x14ac:dyDescent="0.2">
      <c r="A1367" s="11">
        <v>45828.333171296297</v>
      </c>
      <c r="B1367" s="6">
        <v>4.29</v>
      </c>
      <c r="C1367" s="11">
        <f>WORKDAY(INT($A1367),1,holidays_US!$A:$A)</f>
        <v>45831</v>
      </c>
    </row>
    <row r="1368" spans="1:3" x14ac:dyDescent="0.2">
      <c r="A1368" s="11">
        <v>45831.333032407405</v>
      </c>
      <c r="B1368" s="6">
        <v>4.29</v>
      </c>
      <c r="C1368" s="11">
        <f>WORKDAY(INT($A1368),1,holidays_US!$A:$A)</f>
        <v>45832</v>
      </c>
    </row>
    <row r="1369" spans="1:3" x14ac:dyDescent="0.2">
      <c r="A1369" s="11">
        <v>45832.332939814813</v>
      </c>
      <c r="B1369" s="6">
        <v>4.3</v>
      </c>
      <c r="C1369" s="11">
        <f>WORKDAY(INT($A1369),1,holidays_US!$A:$A)</f>
        <v>45833</v>
      </c>
    </row>
    <row r="1370" spans="1:3" x14ac:dyDescent="0.2">
      <c r="A1370" s="11">
        <v>45833.333113425928</v>
      </c>
      <c r="B1370" s="6">
        <v>4.3600000000000003</v>
      </c>
      <c r="C1370" s="11">
        <f>WORKDAY(INT($A1370),1,holidays_US!$A:$A)</f>
        <v>45834</v>
      </c>
    </row>
    <row r="1371" spans="1:3" x14ac:dyDescent="0.2">
      <c r="A1371" s="11">
        <v>45834.333055555559</v>
      </c>
      <c r="B1371" s="6">
        <v>4.4000000000000004</v>
      </c>
      <c r="C1371" s="11">
        <f>WORKDAY(INT($A1371),1,holidays_US!$A:$A)</f>
        <v>45835</v>
      </c>
    </row>
    <row r="1372" spans="1:3" x14ac:dyDescent="0.2">
      <c r="A1372" s="11">
        <v>45835.332800925928</v>
      </c>
      <c r="B1372" s="6">
        <v>4.3899999999999997</v>
      </c>
      <c r="C1372" s="11">
        <f>WORKDAY(INT($A1372),1,holidays_US!$A:$A)</f>
        <v>45838</v>
      </c>
    </row>
    <row r="1373" spans="1:3" x14ac:dyDescent="0.2">
      <c r="A1373" s="11">
        <v>45838.333101851851</v>
      </c>
      <c r="B1373" s="6">
        <v>4.45</v>
      </c>
      <c r="C1373" s="11">
        <f>WORKDAY(INT($A1373),1,holidays_US!$A:$A)</f>
        <v>45839</v>
      </c>
    </row>
    <row r="1374" spans="1:3" x14ac:dyDescent="0.2">
      <c r="A1374" s="11">
        <v>45839.332881944443</v>
      </c>
      <c r="B1374" s="6">
        <v>4.4400000000000004</v>
      </c>
      <c r="C1374" s="11">
        <f>WORKDAY(INT($A1374),1,holidays_US!$A:$A)</f>
        <v>45840</v>
      </c>
    </row>
    <row r="1375" spans="1:3" x14ac:dyDescent="0.2">
      <c r="A1375" s="11">
        <v>45840.332974537036</v>
      </c>
      <c r="B1375" s="6">
        <v>4.4000000000000004</v>
      </c>
      <c r="C1375" s="11">
        <f>WORKDAY(INT($A1375),1,holidays_US!$A:$A)</f>
        <v>45841</v>
      </c>
    </row>
    <row r="1376" spans="1:3" x14ac:dyDescent="0.2">
      <c r="A1376" s="11">
        <v>45841.333020833335</v>
      </c>
      <c r="B1376" s="6">
        <v>4.3499999999999996</v>
      </c>
      <c r="C1376" s="11">
        <f>WORKDAY(INT($A1376),1,holidays_US!$A:$A)</f>
        <v>45845</v>
      </c>
    </row>
    <row r="1377" spans="1:3" x14ac:dyDescent="0.2">
      <c r="A1377" s="11">
        <v>45845.333078703705</v>
      </c>
      <c r="B1377" s="6">
        <v>4.33</v>
      </c>
      <c r="C1377" s="11">
        <f>WORKDAY(INT($A1377),1,holidays_US!$A:$A)</f>
        <v>45846</v>
      </c>
    </row>
    <row r="1378" spans="1:3" x14ac:dyDescent="0.2">
      <c r="A1378" s="11">
        <v>45846.333032407405</v>
      </c>
      <c r="B1378" s="6">
        <v>4.34</v>
      </c>
      <c r="C1378" s="11">
        <f>WORKDAY(INT($A1378),1,holidays_US!$A:$A)</f>
        <v>45847</v>
      </c>
    </row>
    <row r="1379" spans="1:3" x14ac:dyDescent="0.2">
      <c r="A1379" s="11">
        <v>45847.333067129628</v>
      </c>
      <c r="B1379" s="6">
        <v>4.32</v>
      </c>
      <c r="C1379" s="11">
        <f>WORKDAY(INT($A1379),1,holidays_US!$A:$A)</f>
        <v>45848</v>
      </c>
    </row>
    <row r="1380" spans="1:3" x14ac:dyDescent="0.2">
      <c r="A1380" s="11">
        <v>45848.333078703705</v>
      </c>
      <c r="B1380" s="6">
        <v>4.3099999999999996</v>
      </c>
      <c r="C1380" s="11">
        <f>WORKDAY(INT($A1380),1,holidays_US!$A:$A)</f>
        <v>45849</v>
      </c>
    </row>
    <row r="1381" spans="1:3" x14ac:dyDescent="0.2">
      <c r="A1381" s="11">
        <v>45849.332916666666</v>
      </c>
      <c r="B1381" s="6">
        <v>4.3099999999999996</v>
      </c>
      <c r="C1381" s="11">
        <f>WORKDAY(INT($A1381),1,holidays_US!$A:$A)</f>
        <v>45852</v>
      </c>
    </row>
    <row r="1382" spans="1:3" x14ac:dyDescent="0.2">
      <c r="A1382" s="11">
        <v>45852.332974537036</v>
      </c>
      <c r="B1382" s="6">
        <v>4.33</v>
      </c>
      <c r="C1382" s="11">
        <f>WORKDAY(INT($A1382),1,holidays_US!$A:$A)</f>
        <v>45853</v>
      </c>
    </row>
    <row r="1383" spans="1:3" x14ac:dyDescent="0.2">
      <c r="A1383" s="11">
        <v>45853.332743055558</v>
      </c>
      <c r="B1383" s="6">
        <v>4.37</v>
      </c>
      <c r="C1383" s="11">
        <f>WORKDAY(INT($A1383),1,holidays_US!$A:$A)</f>
        <v>45854</v>
      </c>
    </row>
    <row r="1384" spans="1:3" x14ac:dyDescent="0.2">
      <c r="A1384" s="11">
        <v>45854.333483796298</v>
      </c>
      <c r="B1384" s="6">
        <v>4.34</v>
      </c>
      <c r="C1384" s="11">
        <f>WORKDAY(INT($A1384),1,holidays_US!$A:$A)</f>
        <v>45855</v>
      </c>
    </row>
    <row r="1385" spans="1:3" x14ac:dyDescent="0.2">
      <c r="A1385" s="11">
        <v>45855.333148148151</v>
      </c>
      <c r="B1385" s="6">
        <v>4.34</v>
      </c>
      <c r="C1385" s="11">
        <f>WORKDAY(INT($A1385),1,holidays_US!$A:$A)</f>
        <v>45856</v>
      </c>
    </row>
    <row r="1386" spans="1:3" x14ac:dyDescent="0.2">
      <c r="A1386" s="11">
        <v>45856.333101851851</v>
      </c>
      <c r="B1386" s="6">
        <v>4.3</v>
      </c>
      <c r="C1386" s="11">
        <f>WORKDAY(INT($A1386),1,holidays_US!$A:$A)</f>
        <v>45859</v>
      </c>
    </row>
    <row r="1387" spans="1:3" x14ac:dyDescent="0.2">
      <c r="A1387" s="11">
        <v>45859.333090277774</v>
      </c>
      <c r="B1387" s="6">
        <v>4.28</v>
      </c>
      <c r="C1387" s="11">
        <f>WORKDAY(INT($A1387),1,holidays_US!$A:$A)</f>
        <v>45860</v>
      </c>
    </row>
    <row r="1388" spans="1:3" x14ac:dyDescent="0.2">
      <c r="A1388" s="11">
        <v>45860.332974537036</v>
      </c>
      <c r="B1388" s="6">
        <v>4.28</v>
      </c>
      <c r="C1388" s="11">
        <f>WORKDAY(INT($A1388),1,holidays_US!$A:$A)</f>
        <v>45861</v>
      </c>
    </row>
    <row r="1389" spans="1:3" x14ac:dyDescent="0.2">
      <c r="A1389" s="11">
        <v>45861.333136574074</v>
      </c>
      <c r="B1389" s="6">
        <v>4.28</v>
      </c>
      <c r="C1389" s="11">
        <f>WORKDAY(INT($A1389),1,holidays_US!$A:$A)</f>
        <v>45862</v>
      </c>
    </row>
    <row r="1390" spans="1:3" x14ac:dyDescent="0.2">
      <c r="A1390" s="11">
        <v>45862.333090277774</v>
      </c>
      <c r="B1390" s="6">
        <v>4.3</v>
      </c>
      <c r="C1390" s="11">
        <f>WORKDAY(INT($A1390),1,holidays_US!$A:$A)</f>
        <v>45863</v>
      </c>
    </row>
    <row r="1391" spans="1:3" x14ac:dyDescent="0.2">
      <c r="A1391" s="11">
        <v>45863.332951388889</v>
      </c>
      <c r="B1391" s="6">
        <v>4.3600000000000003</v>
      </c>
      <c r="C1391" s="11">
        <f>WORKDAY(INT($A1391),1,holidays_US!$A:$A)</f>
        <v>45866</v>
      </c>
    </row>
    <row r="1392" spans="1:3" x14ac:dyDescent="0.2">
      <c r="A1392" s="11">
        <v>45866.333078703705</v>
      </c>
      <c r="B1392" s="6">
        <v>4.3600000000000003</v>
      </c>
      <c r="C1392" s="11">
        <f>WORKDAY(INT($A1392),1,holidays_US!$A:$A)</f>
        <v>45867</v>
      </c>
    </row>
    <row r="1393" spans="1:3" x14ac:dyDescent="0.2">
      <c r="A1393" s="11">
        <v>45867.332974537036</v>
      </c>
      <c r="B1393" s="6">
        <v>4.3600000000000003</v>
      </c>
      <c r="C1393" s="11">
        <f>WORKDAY(INT($A1393),1,holidays_US!$A:$A)</f>
        <v>45868</v>
      </c>
    </row>
    <row r="1394" spans="1:3" x14ac:dyDescent="0.2">
      <c r="A1394" s="11">
        <v>45868.333078703705</v>
      </c>
      <c r="B1394" s="6">
        <v>4.32</v>
      </c>
      <c r="C1394" s="11">
        <f>WORKDAY(INT($A1394),1,holidays_US!$A:$A)</f>
        <v>45869</v>
      </c>
    </row>
    <row r="1395" spans="1:3" x14ac:dyDescent="0.2">
      <c r="A1395" s="11">
        <v>45869.332962962966</v>
      </c>
      <c r="B1395" s="6">
        <v>4.3899999999999997</v>
      </c>
      <c r="C1395" s="11">
        <f>WORKDAY(INT($A1395),1,holidays_US!$A:$A)</f>
        <v>45870</v>
      </c>
    </row>
    <row r="1396" spans="1:3" x14ac:dyDescent="0.2">
      <c r="A1396" s="11">
        <v>45870.332997685182</v>
      </c>
      <c r="B1396" s="6">
        <v>4.34</v>
      </c>
      <c r="C1396" s="11">
        <f>WORKDAY(INT($A1396),1,holidays_US!$A:$A)</f>
        <v>45873</v>
      </c>
    </row>
    <row r="1397" spans="1:3" x14ac:dyDescent="0.2">
      <c r="A1397" s="11">
        <v>45873.332986111112</v>
      </c>
      <c r="B1397" s="6">
        <v>4.33</v>
      </c>
      <c r="C1397" s="11">
        <f>WORKDAY(INT($A1397),1,holidays_US!$A:$A)</f>
        <v>45874</v>
      </c>
    </row>
    <row r="1398" spans="1:3" x14ac:dyDescent="0.2">
      <c r="A1398" s="11">
        <v>45874.333032407405</v>
      </c>
      <c r="B1398" s="6">
        <v>4.34</v>
      </c>
      <c r="C1398" s="11">
        <f>WORKDAY(INT($A1398),1,holidays_US!$A:$A)</f>
        <v>45875</v>
      </c>
    </row>
    <row r="1399" spans="1:3" x14ac:dyDescent="0.2">
      <c r="A1399" s="11">
        <v>45875.332974537036</v>
      </c>
      <c r="B1399" s="6">
        <v>4.34</v>
      </c>
      <c r="C1399" s="11">
        <f>WORKDAY(INT($A1399),1,holidays_US!$A:$A)</f>
        <v>45876</v>
      </c>
    </row>
    <row r="1400" spans="1:3" x14ac:dyDescent="0.2">
      <c r="A1400" s="11">
        <v>45876.333067129628</v>
      </c>
      <c r="B1400" s="6">
        <v>4.3499999999999996</v>
      </c>
      <c r="C1400" s="11">
        <f>WORKDAY(INT($A1400),1,holidays_US!$A:$A)</f>
        <v>45877</v>
      </c>
    </row>
    <row r="1401" spans="1:3" x14ac:dyDescent="0.2">
      <c r="A1401" s="11">
        <v>45877.333124999997</v>
      </c>
      <c r="B1401" s="6">
        <v>4.3499999999999996</v>
      </c>
      <c r="C1401" s="11">
        <f>WORKDAY(INT($A1401),1,holidays_US!$A:$A)</f>
        <v>45880</v>
      </c>
    </row>
    <row r="1402" spans="1:3" x14ac:dyDescent="0.2">
      <c r="A1402" s="11">
        <v>45880.333032407405</v>
      </c>
      <c r="B1402" s="6">
        <v>4.34</v>
      </c>
      <c r="C1402" s="11">
        <f>WORKDAY(INT($A1402),1,holidays_US!$A:$A)</f>
        <v>45881</v>
      </c>
    </row>
    <row r="1403" spans="1:3" x14ac:dyDescent="0.2">
      <c r="A1403" s="11">
        <v>45881.333101851851</v>
      </c>
      <c r="B1403" s="6">
        <v>4.3600000000000003</v>
      </c>
      <c r="C1403" s="11">
        <f>WORKDAY(INT($A1403),1,holidays_US!$A:$A)</f>
        <v>45882</v>
      </c>
    </row>
    <row r="1404" spans="1:3" x14ac:dyDescent="0.2">
      <c r="A1404" s="11">
        <v>45882.332974537036</v>
      </c>
      <c r="B1404" s="6">
        <v>4.33</v>
      </c>
      <c r="C1404" s="11">
        <f>WORKDAY(INT($A1404),1,holidays_US!$A:$A)</f>
        <v>45883</v>
      </c>
    </row>
    <row r="1405" spans="1:3" x14ac:dyDescent="0.2">
      <c r="A1405" s="11">
        <v>45883.333124999997</v>
      </c>
      <c r="B1405" s="6">
        <v>4.34</v>
      </c>
      <c r="C1405" s="11">
        <f>WORKDAY(INT($A1405),1,holidays_US!$A:$A)</f>
        <v>45884</v>
      </c>
    </row>
    <row r="1406" spans="1:3" x14ac:dyDescent="0.2">
      <c r="A1406" s="11">
        <v>45884.332986111112</v>
      </c>
      <c r="B1406" s="6">
        <v>4.3600000000000003</v>
      </c>
      <c r="C1406" s="11">
        <f>WORKDAY(INT($A1406),1,holidays_US!$A:$A)</f>
        <v>45887</v>
      </c>
    </row>
    <row r="1407" spans="1:3" x14ac:dyDescent="0.2">
      <c r="A1407" s="11">
        <v>45887.332951388889</v>
      </c>
      <c r="B1407" s="6">
        <v>4.34</v>
      </c>
      <c r="C1407" s="11">
        <f>WORKDAY(INT($A1407),1,holidays_US!$A:$A)</f>
        <v>45888</v>
      </c>
    </row>
    <row r="1408" spans="1:3" x14ac:dyDescent="0.2">
      <c r="A1408" s="11">
        <v>45888.332997685182</v>
      </c>
      <c r="B1408" s="6">
        <v>4.33</v>
      </c>
      <c r="C1408" s="11">
        <f>WORKDAY(INT($A1408),1,holidays_US!$A:$A)</f>
        <v>45889</v>
      </c>
    </row>
    <row r="1409" spans="1:3" x14ac:dyDescent="0.2">
      <c r="A1409" s="11">
        <v>45889.333078703705</v>
      </c>
      <c r="B1409" s="6">
        <v>4.3099999999999996</v>
      </c>
      <c r="C1409" s="11">
        <f>WORKDAY(INT($A1409),1,holidays_US!$A:$A)</f>
        <v>45890</v>
      </c>
    </row>
    <row r="1410" spans="1:3" x14ac:dyDescent="0.2">
      <c r="A1410" s="11">
        <v>45890.333020833335</v>
      </c>
      <c r="B1410" s="6">
        <v>4.32</v>
      </c>
      <c r="C1410" s="11">
        <f>WORKDAY(INT($A1410),1,holidays_US!$A:$A)</f>
        <v>45891</v>
      </c>
    </row>
    <row r="1411" spans="1:3" x14ac:dyDescent="0.2">
      <c r="A1411" s="11">
        <v>45891.333124999997</v>
      </c>
      <c r="B1411" s="6">
        <v>4.3600000000000003</v>
      </c>
      <c r="C1411" s="11">
        <f>WORKDAY(INT($A1411),1,holidays_US!$A:$A)</f>
        <v>45894</v>
      </c>
    </row>
    <row r="1412" spans="1:3" x14ac:dyDescent="0.2">
      <c r="A1412" s="11">
        <v>45894.333113425928</v>
      </c>
      <c r="B1412" s="6">
        <v>4.37</v>
      </c>
      <c r="C1412" s="11">
        <f>WORKDAY(INT($A1412),1,holidays_US!$A:$A)</f>
        <v>45895</v>
      </c>
    </row>
    <row r="1413" spans="1:3" x14ac:dyDescent="0.2">
      <c r="A1413" s="11">
        <v>45895.333043981482</v>
      </c>
      <c r="B1413" s="6">
        <v>4.38</v>
      </c>
      <c r="C1413" s="11">
        <f>WORKDAY(INT($A1413),1,holidays_US!$A:$A)</f>
        <v>45896</v>
      </c>
    </row>
    <row r="1414" spans="1:3" x14ac:dyDescent="0.2">
      <c r="A1414" s="11">
        <v>45896.333078703705</v>
      </c>
      <c r="B1414" s="6">
        <v>4.3600000000000003</v>
      </c>
      <c r="C1414" s="11">
        <f>WORKDAY(INT($A1414),1,holidays_US!$A:$A)</f>
        <v>45897</v>
      </c>
    </row>
    <row r="1415" spans="1:3" x14ac:dyDescent="0.2">
      <c r="A1415" s="11">
        <v>45897.332986111112</v>
      </c>
      <c r="B1415" s="6">
        <v>4.34</v>
      </c>
      <c r="C1415" s="11">
        <f>WORKDAY(INT($A1415),1,holidays_US!$A:$A)</f>
        <v>45898</v>
      </c>
    </row>
    <row r="1416" spans="1:3" x14ac:dyDescent="0.2">
      <c r="A1416" s="11">
        <v>45898.333090277774</v>
      </c>
      <c r="B1416" s="6">
        <v>4.34</v>
      </c>
      <c r="C1416" s="11">
        <f>WORKDAY(INT($A1416),1,holidays_US!$A:$A)</f>
        <v>45902</v>
      </c>
    </row>
    <row r="1417" spans="1:3" x14ac:dyDescent="0.2">
      <c r="A1417" s="11">
        <v>45902.333067129628</v>
      </c>
      <c r="B1417" s="6">
        <v>4.3899999999999997</v>
      </c>
      <c r="C1417" s="11">
        <f>WORKDAY(INT($A1417),1,holidays_US!$A:$A)</f>
        <v>45903</v>
      </c>
    </row>
    <row r="1418" spans="1:3" x14ac:dyDescent="0.2">
      <c r="A1418" s="11">
        <v>45903.332928240743</v>
      </c>
      <c r="B1418" s="6">
        <v>4.3899999999999997</v>
      </c>
      <c r="C1418" s="11">
        <f>WORKDAY(INT($A1418),1,holidays_US!$A:$A)</f>
        <v>45904</v>
      </c>
    </row>
    <row r="1419" spans="1:3" x14ac:dyDescent="0.2">
      <c r="A1419" s="11">
        <v>45904.333078703705</v>
      </c>
      <c r="B1419" s="6">
        <v>4.41</v>
      </c>
      <c r="C1419" s="11">
        <f>WORKDAY(INT($A1419),1,holidays_US!$A:$A)</f>
        <v>45905</v>
      </c>
    </row>
    <row r="1420" spans="1:3" x14ac:dyDescent="0.2">
      <c r="A1420" s="11">
        <v>45905.333055555559</v>
      </c>
      <c r="B1420" s="6">
        <v>4.42</v>
      </c>
      <c r="C1420" s="11">
        <f>WORKDAY(INT($A1420),1,holidays_US!$A:$A)</f>
        <v>45908</v>
      </c>
    </row>
    <row r="1421" spans="1:3" x14ac:dyDescent="0.2">
      <c r="A1421" s="11">
        <v>45908.333078703705</v>
      </c>
      <c r="B1421" s="6">
        <v>4.4000000000000004</v>
      </c>
      <c r="C1421" s="11">
        <f>WORKDAY(INT($A1421),1,holidays_US!$A:$A)</f>
        <v>45909</v>
      </c>
    </row>
    <row r="1422" spans="1:3" x14ac:dyDescent="0.2">
      <c r="A1422" s="11">
        <v>45909.333043981482</v>
      </c>
      <c r="B1422" s="6">
        <v>4.4000000000000004</v>
      </c>
      <c r="C1422" s="11">
        <f>WORKDAY(INT($A1422),1,holidays_US!$A:$A)</f>
        <v>45910</v>
      </c>
    </row>
    <row r="1423" spans="1:3" x14ac:dyDescent="0.2">
      <c r="A1423" s="11">
        <v>45910.332777777781</v>
      </c>
      <c r="B1423" s="6">
        <v>4.3899999999999997</v>
      </c>
      <c r="C1423" s="11">
        <f>WORKDAY(INT($A1423),1,holidays_US!$A:$A)</f>
        <v>45911</v>
      </c>
    </row>
    <row r="1424" spans="1:3" x14ac:dyDescent="0.2">
      <c r="A1424" s="11">
        <v>45911.333020833335</v>
      </c>
      <c r="B1424" s="6">
        <v>4.41</v>
      </c>
      <c r="C1424" s="11">
        <f>WORKDAY(INT($A1424),1,holidays_US!$A:$A)</f>
        <v>45912</v>
      </c>
    </row>
    <row r="1425" spans="1:3" x14ac:dyDescent="0.2">
      <c r="A1425" s="11">
        <v>45912.332974537036</v>
      </c>
      <c r="B1425" s="6">
        <v>4.42</v>
      </c>
      <c r="C1425" s="11">
        <f>WORKDAY(INT($A1425),1,holidays_US!$A:$A)</f>
        <v>45915</v>
      </c>
    </row>
    <row r="1426" spans="1:3" x14ac:dyDescent="0.2">
      <c r="A1426" s="11">
        <v>45915.333090277774</v>
      </c>
      <c r="B1426" s="6">
        <v>4.51</v>
      </c>
      <c r="C1426" s="11">
        <f>WORKDAY(INT($A1426),1,holidays_US!$A:$A)</f>
        <v>45916</v>
      </c>
    </row>
    <row r="1427" spans="1:3" x14ac:dyDescent="0.2">
      <c r="A1427" s="11">
        <v>45916.333078703705</v>
      </c>
      <c r="B1427" s="6">
        <v>4.3899999999999997</v>
      </c>
      <c r="C1427" s="11">
        <f>WORKDAY(INT($A1427),1,holidays_US!$A:$A)</f>
        <v>45917</v>
      </c>
    </row>
    <row r="1428" spans="1:3" x14ac:dyDescent="0.2">
      <c r="A1428" s="11">
        <v>45917.333055555559</v>
      </c>
      <c r="B1428" s="6">
        <v>4.38</v>
      </c>
      <c r="C1428" s="11">
        <f>WORKDAY(INT($A1428),1,holidays_US!$A:$A)</f>
        <v>45918</v>
      </c>
    </row>
    <row r="1429" spans="1:3" x14ac:dyDescent="0.2">
      <c r="A1429" s="11">
        <v>45918.333090277774</v>
      </c>
      <c r="B1429" s="6">
        <v>4.1399999999999997</v>
      </c>
      <c r="C1429" s="11">
        <f>WORKDAY(INT($A1429),1,holidays_US!$A:$A)</f>
        <v>45919</v>
      </c>
    </row>
    <row r="1430" spans="1:3" x14ac:dyDescent="0.2">
      <c r="A1430" s="11">
        <v>45919.333067129628</v>
      </c>
      <c r="B1430" s="6">
        <v>4.1399999999999997</v>
      </c>
      <c r="C1430" s="11">
        <f>WORKDAY(INT($A1430),1,holidays_US!$A:$A)</f>
        <v>45922</v>
      </c>
    </row>
    <row r="1431" spans="1:3" x14ac:dyDescent="0.2">
      <c r="A1431" s="11">
        <v>45922.333067129628</v>
      </c>
      <c r="B1431" s="6">
        <v>4.1399999999999997</v>
      </c>
      <c r="C1431" s="11">
        <f>WORKDAY(INT($A1431),1,holidays_US!$A:$A)</f>
        <v>45923</v>
      </c>
    </row>
    <row r="1432" spans="1:3" x14ac:dyDescent="0.2">
      <c r="A1432" s="11">
        <v>45923.333101851851</v>
      </c>
      <c r="B1432" s="6">
        <v>4.12</v>
      </c>
      <c r="C1432" s="11">
        <f>WORKDAY(INT($A1432),1,holidays_US!$A:$A)</f>
        <v>45924</v>
      </c>
    </row>
    <row r="1433" spans="1:3" x14ac:dyDescent="0.2">
      <c r="A1433" s="11">
        <v>45924.333067129628</v>
      </c>
      <c r="B1433" s="6">
        <v>4.13</v>
      </c>
      <c r="C1433" s="11">
        <f>WORKDAY(INT($A1433),1,holidays_US!$A:$A)</f>
        <v>45925</v>
      </c>
    </row>
    <row r="1434" spans="1:3" x14ac:dyDescent="0.2">
      <c r="A1434" s="11">
        <v>45925.332916666666</v>
      </c>
      <c r="B1434" s="6">
        <v>4.18</v>
      </c>
      <c r="C1434" s="11">
        <f>WORKDAY(INT($A1434),1,holidays_US!$A:$A)</f>
        <v>45926</v>
      </c>
    </row>
    <row r="1435" spans="1:3" x14ac:dyDescent="0.2">
      <c r="A1435" s="11">
        <v>45926.333078703705</v>
      </c>
      <c r="B1435" s="6">
        <v>4.16</v>
      </c>
      <c r="C1435" s="11">
        <f>WORKDAY(INT($A1435),1,holidays_US!$A:$A)</f>
        <v>45929</v>
      </c>
    </row>
    <row r="1436" spans="1:3" x14ac:dyDescent="0.2">
      <c r="A1436" s="11">
        <v>45929.333055555559</v>
      </c>
      <c r="B1436" s="6">
        <v>4.13</v>
      </c>
      <c r="C1436" s="11">
        <f>WORKDAY(INT($A1436),1,holidays_US!$A:$A)</f>
        <v>45930</v>
      </c>
    </row>
    <row r="1437" spans="1:3" x14ac:dyDescent="0.2">
      <c r="A1437" s="11">
        <v>45930.333055555559</v>
      </c>
      <c r="B1437" s="6">
        <v>4.24</v>
      </c>
      <c r="C1437" s="11">
        <f>WORKDAY(INT($A1437),1,holidays_US!$A:$A)</f>
        <v>45931</v>
      </c>
    </row>
    <row r="1438" spans="1:3" x14ac:dyDescent="0.2">
      <c r="A1438" s="11">
        <v>45931.332916666666</v>
      </c>
      <c r="B1438" s="6">
        <v>4.2</v>
      </c>
      <c r="C1438" s="11">
        <f>WORKDAY(INT($A1438),1,holidays_US!$A:$A)</f>
        <v>45932</v>
      </c>
    </row>
    <row r="1439" spans="1:3" x14ac:dyDescent="0.2">
      <c r="A1439" s="11">
        <v>45932.333043981482</v>
      </c>
      <c r="B1439" s="6">
        <v>4.2</v>
      </c>
      <c r="C1439" s="11">
        <f>WORKDAY(INT($A1439),1,holidays_US!$A:$A)</f>
        <v>45933</v>
      </c>
    </row>
    <row r="1440" spans="1:3" x14ac:dyDescent="0.2">
      <c r="A1440" s="11">
        <v>45933.333055555559</v>
      </c>
      <c r="B1440" s="6">
        <v>4.18</v>
      </c>
      <c r="C1440" s="11">
        <f>WORKDAY(INT($A1440),1,holidays_US!$A:$A)</f>
        <v>45936</v>
      </c>
    </row>
    <row r="1441" spans="1:3" x14ac:dyDescent="0.2">
      <c r="A1441" s="11">
        <v>45936.332719907405</v>
      </c>
      <c r="B1441" s="6">
        <v>4.1500000000000004</v>
      </c>
      <c r="C1441" s="11">
        <f>WORKDAY(INT($A1441),1,holidays_US!$A:$A)</f>
        <v>45937</v>
      </c>
    </row>
    <row r="1442" spans="1:3" x14ac:dyDescent="0.2">
      <c r="A1442" s="11">
        <v>45937.332928240743</v>
      </c>
      <c r="B1442" s="6">
        <v>4.1399999999999997</v>
      </c>
      <c r="C1442" s="11">
        <f>WORKDAY(INT($A1442),1,holidays_US!$A:$A)</f>
        <v>45938</v>
      </c>
    </row>
    <row r="1443" spans="1:3" x14ac:dyDescent="0.2">
      <c r="A1443" s="11">
        <v>45938.332754629628</v>
      </c>
      <c r="B1443" s="6">
        <v>4.12</v>
      </c>
      <c r="C1443" s="11">
        <f>WORKDAY(INT($A1443),1,holidays_US!$A:$A)</f>
        <v>45939</v>
      </c>
    </row>
    <row r="1444" spans="1:3" x14ac:dyDescent="0.2">
      <c r="A1444" s="11">
        <v>45939.332986111112</v>
      </c>
      <c r="B1444" s="6">
        <v>4.13</v>
      </c>
      <c r="C1444" s="11">
        <f>WORKDAY(INT($A1444),1,holidays_US!$A:$A)</f>
        <v>45940</v>
      </c>
    </row>
    <row r="1445" spans="1:3" x14ac:dyDescent="0.2">
      <c r="A1445" s="11">
        <v>45940.332928240743</v>
      </c>
      <c r="B1445" s="6">
        <v>4.1500000000000004</v>
      </c>
      <c r="C1445" s="11">
        <f>WORKDAY(INT($A1445),1,holidays_US!$A:$A)</f>
        <v>45944</v>
      </c>
    </row>
    <row r="1446" spans="1:3" x14ac:dyDescent="0.2">
      <c r="A1446" s="11">
        <v>45944.333078703705</v>
      </c>
      <c r="B1446" s="6">
        <v>4.1900000000000004</v>
      </c>
      <c r="C1446" s="11">
        <f>WORKDAY(INT($A1446),1,holidays_US!$A:$A)</f>
        <v>45945</v>
      </c>
    </row>
    <row r="1447" spans="1:3" x14ac:dyDescent="0.2">
      <c r="A1447" s="11">
        <v>45945.332708333335</v>
      </c>
      <c r="B1447" s="6">
        <v>4.29</v>
      </c>
      <c r="C1447" s="11">
        <f>WORKDAY(INT($A1447),1,holidays_US!$A:$A)</f>
        <v>45946</v>
      </c>
    </row>
    <row r="1448" spans="1:3" x14ac:dyDescent="0.2">
      <c r="A1448" s="11">
        <v>45946.332951388889</v>
      </c>
      <c r="B1448" s="6">
        <v>4.3</v>
      </c>
      <c r="C1448" s="11">
        <f>WORKDAY(INT($A1448),1,holidays_US!$A:$A)</f>
        <v>45947</v>
      </c>
    </row>
    <row r="1449" spans="1:3" x14ac:dyDescent="0.2">
      <c r="A1449" s="11">
        <v>45947.333101851851</v>
      </c>
      <c r="B1449" s="6">
        <v>4.18</v>
      </c>
      <c r="C1449" s="11">
        <f>WORKDAY(INT($A1449),1,holidays_US!$A:$A)</f>
        <v>45950</v>
      </c>
    </row>
    <row r="1450" spans="1:3" x14ac:dyDescent="0.2">
      <c r="A1450" s="11">
        <v>45950.333078703705</v>
      </c>
      <c r="B1450" s="6">
        <v>4.16</v>
      </c>
      <c r="C1450" s="11">
        <f>WORKDAY(INT($A1450),1,holidays_US!$A:$A)</f>
        <v>45951</v>
      </c>
    </row>
    <row r="1451" spans="1:3" x14ac:dyDescent="0.2">
      <c r="A1451" s="11">
        <v>45951.332754629628</v>
      </c>
      <c r="B1451" s="6">
        <v>4.2300000000000004</v>
      </c>
      <c r="C1451" s="11">
        <f>WORKDAY(INT($A1451),1,holidays_US!$A:$A)</f>
        <v>45952</v>
      </c>
    </row>
    <row r="1452" spans="1:3" x14ac:dyDescent="0.2">
      <c r="A1452" s="11">
        <v>45952.332708333335</v>
      </c>
      <c r="B1452" s="6">
        <v>4.21</v>
      </c>
      <c r="C1452" s="11">
        <f>WORKDAY(INT($A1452),1,holidays_US!$A:$A)</f>
        <v>45953</v>
      </c>
    </row>
    <row r="1453" spans="1:3" x14ac:dyDescent="0.2">
      <c r="A1453" s="11">
        <v>45953.333090277774</v>
      </c>
      <c r="B1453" s="6">
        <v>4.24</v>
      </c>
      <c r="C1453" s="11">
        <f>WORKDAY(INT($A1453),1,holidays_US!$A:$A)</f>
        <v>45954</v>
      </c>
    </row>
    <row r="1454" spans="1:3" x14ac:dyDescent="0.2">
      <c r="A1454" s="11">
        <v>45954.333113425928</v>
      </c>
      <c r="B1454" s="6">
        <v>4.24</v>
      </c>
      <c r="C1454" s="11">
        <f>WORKDAY(INT($A1454),1,holidays_US!$A:$A)</f>
        <v>45957</v>
      </c>
    </row>
    <row r="1455" spans="1:3" x14ac:dyDescent="0.2">
      <c r="A1455" s="11">
        <v>45957.333124999997</v>
      </c>
      <c r="B1455" s="6">
        <v>4.2699999999999996</v>
      </c>
      <c r="C1455" s="11">
        <f>WORKDAY(INT($A1455),1,holidays_US!$A:$A)</f>
        <v>45958</v>
      </c>
    </row>
    <row r="1456" spans="1:3" x14ac:dyDescent="0.2">
      <c r="A1456" s="11">
        <v>45958.333113425928</v>
      </c>
      <c r="B1456" s="6">
        <v>4.3099999999999996</v>
      </c>
      <c r="C1456" s="11">
        <f>WORKDAY(INT($A1456),1,holidays_US!$A:$A)</f>
        <v>45959</v>
      </c>
    </row>
    <row r="1457" spans="1:3" x14ac:dyDescent="0.2">
      <c r="A1457" s="11">
        <v>45959.333067129628</v>
      </c>
      <c r="B1457" s="6">
        <v>4.2699999999999996</v>
      </c>
      <c r="C1457" s="11">
        <f>WORKDAY(INT($A1457),1,holidays_US!$A:$A)</f>
        <v>45960</v>
      </c>
    </row>
    <row r="1458" spans="1:3" x14ac:dyDescent="0.2">
      <c r="A1458" s="11">
        <v>45960.333055555559</v>
      </c>
      <c r="B1458" s="6">
        <v>4.04</v>
      </c>
      <c r="C1458" s="11">
        <f>WORKDAY(INT($A1458),1,holidays_US!$A:$A)</f>
        <v>45961</v>
      </c>
    </row>
    <row r="1459" spans="1:3" x14ac:dyDescent="0.2">
      <c r="A1459" s="11">
        <v>45961.374664351853</v>
      </c>
      <c r="B1459" s="6">
        <v>4.22</v>
      </c>
      <c r="C1459" s="11">
        <f>WORKDAY(INT($A1459),1,holidays_US!$A:$A)</f>
        <v>45964</v>
      </c>
    </row>
    <row r="1460" spans="1:3" x14ac:dyDescent="0.2">
      <c r="A1460" s="11">
        <v>45964.333055555559</v>
      </c>
      <c r="B1460" s="6">
        <v>4.13</v>
      </c>
      <c r="C1460" s="11">
        <f>WORKDAY(INT($A1460),1,holidays_US!$A:$A)</f>
        <v>45965</v>
      </c>
    </row>
    <row r="1461" spans="1:3" x14ac:dyDescent="0.2">
      <c r="A1461" s="11">
        <v>45965.333032407405</v>
      </c>
      <c r="B1461" s="6">
        <v>4</v>
      </c>
      <c r="C1461" s="11">
        <f>WORKDAY(INT($A1461),1,holidays_US!$A:$A)</f>
        <v>45966</v>
      </c>
    </row>
    <row r="1462" spans="1:3" x14ac:dyDescent="0.2">
      <c r="A1462" s="11">
        <v>45966.333020833335</v>
      </c>
      <c r="B1462" s="6">
        <v>3.91</v>
      </c>
      <c r="C1462" s="11">
        <f>WORKDAY(INT($A1462),1,holidays_US!$A:$A)</f>
        <v>45967</v>
      </c>
    </row>
    <row r="1463" spans="1:3" x14ac:dyDescent="0.2">
      <c r="A1463" s="11">
        <v>45967.333020833335</v>
      </c>
      <c r="B1463" s="6">
        <v>3.92</v>
      </c>
      <c r="C1463" s="11">
        <f>WORKDAY(INT($A1463),1,holidays_US!$A:$A)</f>
        <v>45968</v>
      </c>
    </row>
    <row r="1464" spans="1:3" x14ac:dyDescent="0.2">
      <c r="A1464" s="11">
        <v>45968.333113425928</v>
      </c>
      <c r="B1464" s="6">
        <v>3.93</v>
      </c>
      <c r="C1464" s="11">
        <f>WORKDAY(INT($A1464),1,holidays_US!$A:$A)</f>
        <v>45971</v>
      </c>
    </row>
    <row r="1465" spans="1:3" x14ac:dyDescent="0.2">
      <c r="A1465" s="11">
        <v>45971.332974537036</v>
      </c>
      <c r="B1465" s="6">
        <v>3.95</v>
      </c>
      <c r="C1465" s="11">
        <f>WORKDAY(INT($A1465),1,holidays_US!$A:$A)</f>
        <v>45973</v>
      </c>
    </row>
    <row r="1466" spans="1:3" x14ac:dyDescent="0.2">
      <c r="A1466" s="11">
        <v>45973.333090277774</v>
      </c>
      <c r="B1466" s="6">
        <v>3.98</v>
      </c>
      <c r="C1466" s="11">
        <f>WORKDAY(INT($A1466),1,holidays_US!$A:$A)</f>
        <v>45974</v>
      </c>
    </row>
    <row r="1467" spans="1:3" x14ac:dyDescent="0.2">
      <c r="A1467" s="11">
        <v>45974.333078703705</v>
      </c>
      <c r="B1467" s="6">
        <v>4</v>
      </c>
      <c r="C1467" s="11">
        <f>WORKDAY(INT($A1467),1,holidays_US!$A:$A)</f>
        <v>45975</v>
      </c>
    </row>
    <row r="1468" spans="1:3" x14ac:dyDescent="0.2">
      <c r="A1468" s="11">
        <v>45975.332916666666</v>
      </c>
      <c r="B1468" s="6">
        <v>3.95</v>
      </c>
      <c r="C1468" s="11">
        <f>WORKDAY(INT($A1468),1,holidays_US!$A:$A)</f>
        <v>45978</v>
      </c>
    </row>
    <row r="1469" spans="1:3" x14ac:dyDescent="0.2">
      <c r="A1469" s="11">
        <v>45978.332951388889</v>
      </c>
      <c r="B1469" s="6">
        <v>4</v>
      </c>
      <c r="C1469" s="11">
        <f>WORKDAY(INT($A1469),1,holidays_US!$A:$A)</f>
        <v>45979</v>
      </c>
    </row>
    <row r="1470" spans="1:3" x14ac:dyDescent="0.2">
      <c r="A1470" s="11">
        <v>45979.333090277774</v>
      </c>
      <c r="B1470" s="6">
        <v>3.94</v>
      </c>
      <c r="C1470" s="11">
        <f>WORKDAY(INT($A1470),1,holidays_US!$A:$A)</f>
        <v>45980</v>
      </c>
    </row>
    <row r="1471" spans="1:3" x14ac:dyDescent="0.2">
      <c r="A1471" s="11">
        <v>45980.332777777781</v>
      </c>
      <c r="B1471" s="6">
        <v>3.91</v>
      </c>
      <c r="C1471" s="11">
        <f>WORKDAY(INT($A1471),1,holidays_US!$A:$A)</f>
        <v>45981</v>
      </c>
    </row>
    <row r="1472" spans="1:3" x14ac:dyDescent="0.2">
      <c r="A1472" s="11">
        <v>45981.332824074074</v>
      </c>
      <c r="B1472" s="6">
        <v>3.91</v>
      </c>
      <c r="C1472" s="11">
        <f>WORKDAY(INT($A1472),1,holidays_US!$A:$A)</f>
        <v>45982</v>
      </c>
    </row>
    <row r="1473" spans="1:3" x14ac:dyDescent="0.2">
      <c r="A1473" s="11">
        <v>45982.333136574074</v>
      </c>
      <c r="B1473" s="6">
        <v>3.93</v>
      </c>
      <c r="C1473" s="11">
        <f>WORKDAY(INT($A1473),1,holidays_US!$A:$A)</f>
        <v>45985</v>
      </c>
    </row>
    <row r="1474" spans="1:3" x14ac:dyDescent="0.2">
      <c r="A1474" s="11">
        <v>45985.332962962966</v>
      </c>
      <c r="B1474" s="6">
        <v>3.96</v>
      </c>
      <c r="C1474" s="11">
        <f>WORKDAY(INT($A1474),1,holidays_US!$A:$A)</f>
        <v>45986</v>
      </c>
    </row>
    <row r="1475" spans="1:3" x14ac:dyDescent="0.2">
      <c r="A1475" s="11">
        <v>45986.332939814813</v>
      </c>
      <c r="B1475" s="6">
        <v>4.01</v>
      </c>
      <c r="C1475" s="11">
        <f>WORKDAY(INT($A1475),1,holidays_US!$A:$A)</f>
        <v>45987</v>
      </c>
    </row>
    <row r="1476" spans="1:3" x14ac:dyDescent="0.2">
      <c r="A1476" s="11">
        <v>45987.332916666666</v>
      </c>
      <c r="B1476" s="6">
        <v>4.05</v>
      </c>
      <c r="C1476" s="11">
        <f>WORKDAY(INT($A1476),1,holidays_US!$A:$A)</f>
        <v>45989</v>
      </c>
    </row>
    <row r="1477" spans="1:3" x14ac:dyDescent="0.2">
      <c r="A1477" s="11">
        <v>45989.333182870374</v>
      </c>
      <c r="B1477" s="6">
        <v>4.12</v>
      </c>
      <c r="C1477" s="11">
        <f>WORKDAY(INT($A1477),1,holidays_US!$A:$A)</f>
        <v>45992</v>
      </c>
    </row>
    <row r="1478" spans="1:3" x14ac:dyDescent="0.2">
      <c r="A1478" s="11">
        <v>45992.333194444444</v>
      </c>
      <c r="B1478" s="6">
        <v>4.12</v>
      </c>
      <c r="C1478" s="11">
        <f>WORKDAY(INT($A1478),1,holidays_US!$A:$A)</f>
        <v>45993</v>
      </c>
    </row>
    <row r="1479" spans="1:3" x14ac:dyDescent="0.2">
      <c r="A1479" s="11">
        <v>45993.333020833335</v>
      </c>
      <c r="B1479" s="6">
        <v>4.01</v>
      </c>
      <c r="C1479" s="11">
        <f>WORKDAY(INT($A1479),1,holidays_US!$A:$A)</f>
        <v>45994</v>
      </c>
    </row>
    <row r="1480" spans="1:3" x14ac:dyDescent="0.2">
      <c r="A1480" s="11">
        <v>45994.332881944443</v>
      </c>
      <c r="B1480" s="6">
        <v>3.95</v>
      </c>
      <c r="C1480" s="11">
        <f>WORKDAY(INT($A1480),1,holidays_US!$A:$A)</f>
        <v>45995</v>
      </c>
    </row>
    <row r="1481" spans="1:3" x14ac:dyDescent="0.2">
      <c r="A1481" s="11">
        <v>45995.333148148151</v>
      </c>
      <c r="B1481" s="6">
        <v>3.92</v>
      </c>
      <c r="C1481" s="11">
        <f>WORKDAY(INT($A1481),1,holidays_US!$A:$A)</f>
        <v>45996</v>
      </c>
    </row>
    <row r="1482" spans="1:3" x14ac:dyDescent="0.2">
      <c r="A1482" s="11">
        <v>45996.332743055558</v>
      </c>
      <c r="B1482" s="6">
        <v>3.93</v>
      </c>
      <c r="C1482" s="11">
        <f>WORKDAY(INT($A1482),1,holidays_US!$A:$A)</f>
        <v>45999</v>
      </c>
    </row>
    <row r="1483" spans="1:3" x14ac:dyDescent="0.2">
      <c r="A1483" s="11">
        <v>45999.333090277774</v>
      </c>
      <c r="B1483" s="6">
        <v>3.95</v>
      </c>
      <c r="C1483" s="11">
        <f>WORKDAY(INT($A1483),1,holidays_US!$A:$A)</f>
        <v>46000</v>
      </c>
    </row>
    <row r="1484" spans="1:3" x14ac:dyDescent="0.2">
      <c r="A1484" s="11">
        <v>46000.332939814813</v>
      </c>
      <c r="B1484" s="6">
        <v>3.93</v>
      </c>
      <c r="C1484" s="11">
        <f>WORKDAY(INT($A1484),1,holidays_US!$A:$A)</f>
        <v>46001</v>
      </c>
    </row>
    <row r="1485" spans="1:3" x14ac:dyDescent="0.2">
      <c r="A1485" s="11">
        <v>46001.332939814813</v>
      </c>
      <c r="B1485" s="6">
        <v>3.9</v>
      </c>
      <c r="C1485" s="11">
        <f>WORKDAY(INT($A1485),1,holidays_US!$A:$A)</f>
        <v>46002</v>
      </c>
    </row>
    <row r="1486" spans="1:3" x14ac:dyDescent="0.2">
      <c r="A1486" s="11">
        <v>46002.332754629628</v>
      </c>
      <c r="B1486" s="6">
        <v>3.66</v>
      </c>
      <c r="C1486" s="11">
        <f>WORKDAY(INT($A1486),1,holidays_US!$A:$A)</f>
        <v>46003</v>
      </c>
    </row>
    <row r="1487" spans="1:3" x14ac:dyDescent="0.2">
      <c r="A1487" s="11">
        <v>46003.332754629628</v>
      </c>
      <c r="B1487" s="6">
        <v>3.67</v>
      </c>
      <c r="C1487" s="11">
        <f>WORKDAY(INT($A1487),1,holidays_US!$A:$A)</f>
        <v>46006</v>
      </c>
    </row>
    <row r="1488" spans="1:3" x14ac:dyDescent="0.2">
      <c r="A1488" s="11">
        <v>46006.332777777781</v>
      </c>
      <c r="B1488" s="6">
        <v>3.75</v>
      </c>
      <c r="C1488" s="11">
        <f>WORKDAY(INT($A1488),1,holidays_US!$A:$A)</f>
        <v>46007</v>
      </c>
    </row>
    <row r="1489" spans="1:3" x14ac:dyDescent="0.2">
      <c r="A1489" s="11">
        <v>46007.333182870374</v>
      </c>
      <c r="B1489" s="6">
        <v>3.69</v>
      </c>
      <c r="C1489" s="11">
        <f>WORKDAY(INT($A1489),1,holidays_US!$A:$A)</f>
        <v>46008</v>
      </c>
    </row>
    <row r="1490" spans="1:3" x14ac:dyDescent="0.2">
      <c r="A1490" s="11">
        <v>46008.332824074074</v>
      </c>
      <c r="B1490" s="6">
        <v>3.69</v>
      </c>
      <c r="C1490" s="11">
        <f>WORKDAY(INT($A1490),1,holidays_US!$A:$A)</f>
        <v>46009</v>
      </c>
    </row>
    <row r="1491" spans="1:3" x14ac:dyDescent="0.2">
      <c r="A1491" s="11">
        <v>46009.332743055558</v>
      </c>
      <c r="B1491" s="6">
        <v>3.66</v>
      </c>
      <c r="C1491" s="11">
        <f>WORKDAY(INT($A1491),1,holidays_US!$A:$A)</f>
        <v>46010</v>
      </c>
    </row>
    <row r="1492" spans="1:3" x14ac:dyDescent="0.2">
      <c r="A1492" s="11">
        <v>46010.332731481481</v>
      </c>
      <c r="B1492" s="6">
        <v>3.66</v>
      </c>
      <c r="C1492" s="11">
        <f>WORKDAY(INT($A1492),1,holidays_US!$A:$A)</f>
        <v>46013</v>
      </c>
    </row>
    <row r="1493" spans="1:3" x14ac:dyDescent="0.2">
      <c r="A1493" s="11">
        <v>46013.333067129628</v>
      </c>
      <c r="B1493" s="6">
        <v>3.68</v>
      </c>
      <c r="C1493" s="11">
        <f>WORKDAY(INT($A1493),1,holidays_US!$A:$A)</f>
        <v>46014</v>
      </c>
    </row>
    <row r="1494" spans="1:3" x14ac:dyDescent="0.2">
      <c r="A1494" s="11">
        <v>46014.332754629628</v>
      </c>
      <c r="B1494" s="6">
        <v>3.66</v>
      </c>
      <c r="C1494" s="11">
        <f>WORKDAY(INT($A1494),1,holidays_US!$A:$A)</f>
        <v>46015</v>
      </c>
    </row>
    <row r="1495" spans="1:3" x14ac:dyDescent="0.2">
      <c r="A1495" s="11">
        <v>46015.333078703705</v>
      </c>
      <c r="B1495" s="6">
        <v>3.66</v>
      </c>
      <c r="C1495" s="11">
        <f>WORKDAY(INT($A1495),1,holidays_US!$A:$A)</f>
        <v>46017</v>
      </c>
    </row>
    <row r="1496" spans="1:3" x14ac:dyDescent="0.2">
      <c r="A1496" s="11">
        <v>46017.332696759258</v>
      </c>
      <c r="B1496" s="6">
        <v>3.76</v>
      </c>
      <c r="C1496" s="11">
        <f>WORKDAY(INT($A1496),1,holidays_US!$A:$A)</f>
        <v>46020</v>
      </c>
    </row>
    <row r="1497" spans="1:3" x14ac:dyDescent="0.2">
      <c r="A1497" s="11">
        <v>46020.333113425928</v>
      </c>
      <c r="B1497" s="6">
        <v>3.77</v>
      </c>
      <c r="C1497" s="11">
        <f>WORKDAY(INT($A1497),1,holidays_US!$A:$A)</f>
        <v>46021</v>
      </c>
    </row>
    <row r="1498" spans="1:3" x14ac:dyDescent="0.2">
      <c r="A1498" s="11">
        <v>46021.332916666666</v>
      </c>
      <c r="B1498" s="6">
        <v>3.71</v>
      </c>
      <c r="C1498" s="11">
        <f>WORKDAY(INT($A1498),1,holidays_US!$A:$A)</f>
        <v>46022</v>
      </c>
    </row>
    <row r="1499" spans="1:3" x14ac:dyDescent="0.2">
      <c r="A1499" s="11">
        <v>46022.333541666667</v>
      </c>
      <c r="B1499" s="6">
        <v>3.87</v>
      </c>
      <c r="C1499" s="11">
        <f>WORKDAY(INT($A1499),1,holidays_US!$A:$A)</f>
        <v>46024</v>
      </c>
    </row>
    <row r="1500" spans="1:3" x14ac:dyDescent="0.2">
      <c r="A1500" s="11">
        <v>46024.332731481481</v>
      </c>
      <c r="B1500" s="6">
        <v>3.75</v>
      </c>
      <c r="C1500" s="11">
        <f>WORKDAY(INT($A1500),1,holidays_US!$A:$A)</f>
        <v>46027</v>
      </c>
    </row>
    <row r="1501" spans="1:3" x14ac:dyDescent="0.2">
      <c r="A1501" s="11">
        <v>46027.332881944443</v>
      </c>
      <c r="B1501" s="6">
        <v>3.7</v>
      </c>
      <c r="C1501" s="11">
        <f>WORKDAY(INT($A1501),1,holidays_US!$A:$A)</f>
        <v>46028</v>
      </c>
    </row>
    <row r="1502" spans="1:3" x14ac:dyDescent="0.2">
      <c r="A1502" s="11">
        <v>46028.332719907405</v>
      </c>
      <c r="B1502" s="6">
        <v>3.66</v>
      </c>
      <c r="C1502" s="11">
        <f>WORKDAY(INT($A1502),1,holidays_US!$A:$A)</f>
        <v>46029</v>
      </c>
    </row>
    <row r="1503" spans="1:3" x14ac:dyDescent="0.2">
      <c r="A1503" s="11">
        <v>46029.333124999997</v>
      </c>
      <c r="B1503" s="6">
        <v>3.65</v>
      </c>
      <c r="C1503" s="11">
        <f>WORKDAY(INT($A1503),1,holidays_US!$A:$A)</f>
        <v>46030</v>
      </c>
    </row>
    <row r="1504" spans="1:3" x14ac:dyDescent="0.2">
      <c r="A1504" s="11">
        <v>46030.333055555559</v>
      </c>
      <c r="B1504" s="6">
        <v>3.64</v>
      </c>
      <c r="C1504" s="11">
        <f>WORKDAY(INT($A1504),1,holidays_US!$A:$A)</f>
        <v>46031</v>
      </c>
    </row>
    <row r="1505" spans="1:3" x14ac:dyDescent="0.2">
      <c r="A1505" s="11">
        <v>46031.333067129628</v>
      </c>
      <c r="B1505" s="6">
        <v>3.64</v>
      </c>
      <c r="C1505" s="11">
        <f>WORKDAY(INT($A1505),1,holidays_US!$A:$A)</f>
        <v>46034</v>
      </c>
    </row>
    <row r="1506" spans="1:3" x14ac:dyDescent="0.2">
      <c r="A1506" s="11">
        <v>46034.332812499997</v>
      </c>
      <c r="B1506" s="6">
        <v>3.64</v>
      </c>
      <c r="C1506" s="11">
        <f>WORKDAY(INT($A1506),1,holidays_US!$A:$A)</f>
        <v>46035</v>
      </c>
    </row>
    <row r="1507" spans="1:3" x14ac:dyDescent="0.2">
      <c r="A1507" s="11">
        <v>46035.333148148151</v>
      </c>
      <c r="B1507" s="6">
        <v>3.65</v>
      </c>
      <c r="C1507" s="11">
        <f>WORKDAY(INT($A1507),1,holidays_US!$A:$A)</f>
        <v>46036</v>
      </c>
    </row>
    <row r="1508" spans="1:3" x14ac:dyDescent="0.2">
      <c r="A1508" s="11">
        <v>46036.332986111112</v>
      </c>
      <c r="B1508" s="6">
        <v>3.64</v>
      </c>
      <c r="C1508" s="11">
        <f>WORKDAY(INT($A1508),1,holidays_US!$A:$A)</f>
        <v>46037</v>
      </c>
    </row>
    <row r="1509" spans="1:3" x14ac:dyDescent="0.2">
      <c r="A1509" s="11">
        <v>46037.33320601852</v>
      </c>
      <c r="B1509" s="6">
        <v>3.66</v>
      </c>
      <c r="C1509" s="11">
        <f>WORKDAY(INT($A1509),1,holidays_US!$A:$A)</f>
        <v>46038</v>
      </c>
    </row>
    <row r="1510" spans="1:3" x14ac:dyDescent="0.2">
      <c r="A1510" s="11">
        <v>46038.333078703705</v>
      </c>
      <c r="B1510" s="6">
        <v>3.65</v>
      </c>
      <c r="C1510" s="11">
        <f>WORKDAY(INT($A1510),1,holidays_US!$A:$A)</f>
        <v>46042</v>
      </c>
    </row>
    <row r="1511" spans="1:3" x14ac:dyDescent="0.2">
      <c r="A1511" s="11">
        <v>46042.332812499997</v>
      </c>
      <c r="B1511" s="6">
        <v>3.64</v>
      </c>
      <c r="C1511" s="11">
        <f>WORKDAY(INT($A1511),1,holidays_US!$A:$A)</f>
        <v>46043</v>
      </c>
    </row>
    <row r="1512" spans="1:3" x14ac:dyDescent="0.2">
      <c r="A1512" s="11">
        <v>46043.332766203705</v>
      </c>
      <c r="B1512" s="6">
        <v>3.63</v>
      </c>
      <c r="C1512" s="11">
        <f>WORKDAY(INT($A1512),1,holidays_US!$A:$A)</f>
        <v>46044</v>
      </c>
    </row>
    <row r="1513" spans="1:3" x14ac:dyDescent="0.2">
      <c r="A1513" s="11">
        <v>46044.333078703705</v>
      </c>
      <c r="B1513" s="6">
        <v>3.64</v>
      </c>
      <c r="C1513" s="11">
        <f>WORKDAY(INT($A1513),1,holidays_US!$A:$A)</f>
        <v>46045</v>
      </c>
    </row>
    <row r="1514" spans="1:3" x14ac:dyDescent="0.2">
      <c r="A1514" s="11">
        <v>46045.333101851851</v>
      </c>
      <c r="B1514" s="6">
        <v>3.65</v>
      </c>
      <c r="C1514" s="11">
        <f>WORKDAY(INT($A1514),1,holidays_US!$A:$A)</f>
        <v>46048</v>
      </c>
    </row>
    <row r="1515" spans="1:3" x14ac:dyDescent="0.2">
      <c r="A1515" s="11">
        <v>46048.332754629628</v>
      </c>
      <c r="B1515" s="6">
        <v>3.66</v>
      </c>
      <c r="C1515" s="11">
        <f>WORKDAY(INT($A1515),1,holidays_US!$A:$A)</f>
        <v>46049</v>
      </c>
    </row>
    <row r="1516" spans="1:3" x14ac:dyDescent="0.2">
      <c r="A1516" s="11">
        <v>46049.332916666666</v>
      </c>
      <c r="B1516" s="6">
        <v>3.66</v>
      </c>
      <c r="C1516" s="11">
        <f>WORKDAY(INT($A1516),1,holidays_US!$A:$A)</f>
        <v>46050</v>
      </c>
    </row>
    <row r="1517" spans="1:3" x14ac:dyDescent="0.2">
      <c r="A1517" s="11">
        <v>46050.332743055558</v>
      </c>
      <c r="B1517" s="6">
        <v>3.64</v>
      </c>
      <c r="C1517" s="11">
        <f>WORKDAY(INT($A1517),1,holidays_US!$A:$A)</f>
        <v>46051</v>
      </c>
    </row>
    <row r="1518" spans="1:3" x14ac:dyDescent="0.2">
      <c r="A1518" s="11">
        <v>46051.332708333335</v>
      </c>
      <c r="B1518" s="6">
        <v>3.65</v>
      </c>
      <c r="C1518" s="11">
        <f>WORKDAY(INT($A1518),1,holidays_US!$A:$A)</f>
        <v>46052</v>
      </c>
    </row>
    <row r="1519" spans="1:3" x14ac:dyDescent="0.2">
      <c r="A1519" s="11">
        <v>46052.332731481481</v>
      </c>
      <c r="B1519" s="6">
        <v>3.68</v>
      </c>
      <c r="C1519" s="11">
        <f>WORKDAY(INT($A1519),1,holidays_US!$A:$A)</f>
        <v>46055</v>
      </c>
    </row>
    <row r="1520" spans="1:3" x14ac:dyDescent="0.2">
      <c r="A1520" s="11">
        <v>46055.332928240743</v>
      </c>
      <c r="B1520" s="6">
        <v>3.69</v>
      </c>
      <c r="C1520" s="11">
        <f>WORKDAY(INT($A1520),1,holidays_US!$A:$A)</f>
        <v>46056</v>
      </c>
    </row>
    <row r="1521" spans="1:3" x14ac:dyDescent="0.2">
      <c r="A1521" s="11">
        <v>46056.332800925928</v>
      </c>
      <c r="B1521" s="6">
        <v>3.69</v>
      </c>
      <c r="C1521" s="11">
        <f>WORKDAY(INT($A1521),1,holidays_US!$A:$A)</f>
        <v>46057</v>
      </c>
    </row>
    <row r="1522" spans="1:3" x14ac:dyDescent="0.2">
      <c r="A1522" s="11">
        <v>46057.332766203705</v>
      </c>
      <c r="B1522" s="6">
        <v>3.65</v>
      </c>
      <c r="C1522" s="11">
        <f>WORKDAY(INT($A1522),1,holidays_US!$A:$A)</f>
        <v>46058</v>
      </c>
    </row>
    <row r="1523" spans="1:3" x14ac:dyDescent="0.2">
      <c r="A1523" s="11">
        <v>46058.332962962966</v>
      </c>
      <c r="B1523" s="6">
        <v>3.65</v>
      </c>
      <c r="C1523" s="11">
        <f>WORKDAY(INT($A1523),1,holidays_US!$A:$A)</f>
        <v>46059</v>
      </c>
    </row>
    <row r="1524" spans="1:3" x14ac:dyDescent="0.2">
      <c r="A1524" s="11">
        <v>46059.332766203705</v>
      </c>
      <c r="B1524" s="6">
        <v>3.64</v>
      </c>
      <c r="C1524" s="11">
        <f>WORKDAY(INT($A1524),1,holidays_US!$A:$A)</f>
        <v>46062</v>
      </c>
    </row>
    <row r="1525" spans="1:3" x14ac:dyDescent="0.2">
      <c r="A1525" s="11">
        <v>46062.332916666666</v>
      </c>
      <c r="B1525" s="6">
        <v>3.63</v>
      </c>
      <c r="C1525" s="11">
        <f>WORKDAY(INT($A1525),1,holidays_US!$A:$A)</f>
        <v>46063</v>
      </c>
    </row>
    <row r="1526" spans="1:3" x14ac:dyDescent="0.2">
      <c r="A1526" s="11">
        <v>46063.333171296297</v>
      </c>
      <c r="B1526" s="6">
        <v>3.65</v>
      </c>
      <c r="C1526" s="11">
        <f>WORKDAY(INT($A1526),1,holidays_US!$A:$A)</f>
        <v>46064</v>
      </c>
    </row>
    <row r="1527" spans="1:3" x14ac:dyDescent="0.2">
      <c r="A1527" s="11">
        <v>46064.332743055558</v>
      </c>
      <c r="B1527" s="6">
        <v>3.65</v>
      </c>
      <c r="C1527" s="11">
        <f>WORKDAY(INT($A1527),1,holidays_US!$A:$A)</f>
        <v>46065</v>
      </c>
    </row>
    <row r="1528" spans="1:3" x14ac:dyDescent="0.2">
      <c r="A1528" s="11">
        <v>46065.332777777781</v>
      </c>
      <c r="B1528" s="6">
        <v>3.65</v>
      </c>
      <c r="C1528" s="11">
        <f>WORKDAY(INT($A1528),1,holidays_US!$A:$A)</f>
        <v>46066</v>
      </c>
    </row>
    <row r="1529" spans="1:3" x14ac:dyDescent="0.2">
      <c r="A1529" s="11">
        <v>46066.332997685182</v>
      </c>
      <c r="B1529" s="6">
        <v>3.66</v>
      </c>
      <c r="C1529" s="11">
        <f>WORKDAY(INT($A1529),1,holidays_US!$A:$A)</f>
        <v>46070</v>
      </c>
    </row>
    <row r="1530" spans="1:3" x14ac:dyDescent="0.2">
      <c r="A1530" s="11">
        <v>46070.333113425928</v>
      </c>
      <c r="B1530" s="6">
        <v>3.71</v>
      </c>
      <c r="C1530" s="11">
        <f>WORKDAY(INT($A1530),1,holidays_US!$A:$A)</f>
        <v>46071</v>
      </c>
    </row>
    <row r="1531" spans="1:3" x14ac:dyDescent="0.2">
      <c r="A1531" s="11">
        <v>46071.333113425928</v>
      </c>
      <c r="B1531" s="6">
        <v>3.73</v>
      </c>
      <c r="C1531" s="11">
        <f>WORKDAY(INT($A1531),1,holidays_US!$A:$A)</f>
        <v>46072</v>
      </c>
    </row>
    <row r="1532" spans="1:3" x14ac:dyDescent="0.2">
      <c r="A1532" s="11">
        <v>46072.333124999997</v>
      </c>
      <c r="B1532" s="6">
        <v>3.67</v>
      </c>
      <c r="C1532" s="11">
        <f>WORKDAY(INT($A1532),1,holidays_US!$A:$A)</f>
        <v>46073</v>
      </c>
    </row>
    <row r="1533" spans="1:3" x14ac:dyDescent="0.2">
      <c r="A1533" s="11">
        <v>46073.332696759258</v>
      </c>
      <c r="B1533" s="6">
        <v>3.66</v>
      </c>
      <c r="C1533" s="11">
        <f>WORKDAY(INT($A1533),1,holidays_US!$A:$A)</f>
        <v>46076</v>
      </c>
    </row>
    <row r="1534" spans="1:3" x14ac:dyDescent="0.2">
      <c r="A1534" s="11">
        <v>46076.332962962966</v>
      </c>
      <c r="B1534" s="6">
        <v>3.66</v>
      </c>
      <c r="C1534" s="11">
        <f>WORKDAY(INT($A1534),1,holidays_US!$A:$A)</f>
        <v>46077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3E4B8-5A27-4300-87CF-083B3E67FD7E}">
  <dimension ref="A1:A74"/>
  <sheetViews>
    <sheetView workbookViewId="0">
      <selection sqref="A1:XFD1"/>
    </sheetView>
  </sheetViews>
  <sheetFormatPr defaultRowHeight="12.75" x14ac:dyDescent="0.2"/>
  <cols>
    <col min="1" max="1" width="10.140625" style="11" bestFit="1" customWidth="1"/>
  </cols>
  <sheetData>
    <row r="1" spans="1:1" x14ac:dyDescent="0.2">
      <c r="A1" s="11">
        <v>43831</v>
      </c>
    </row>
    <row r="2" spans="1:1" x14ac:dyDescent="0.2">
      <c r="A2" s="11">
        <v>43850</v>
      </c>
    </row>
    <row r="3" spans="1:1" x14ac:dyDescent="0.2">
      <c r="A3" s="11">
        <v>43878</v>
      </c>
    </row>
    <row r="4" spans="1:1" x14ac:dyDescent="0.2">
      <c r="A4" s="11">
        <v>43976</v>
      </c>
    </row>
    <row r="5" spans="1:1" x14ac:dyDescent="0.2">
      <c r="A5" s="11">
        <v>44015</v>
      </c>
    </row>
    <row r="6" spans="1:1" x14ac:dyDescent="0.2">
      <c r="A6" s="11">
        <v>44081</v>
      </c>
    </row>
    <row r="7" spans="1:1" x14ac:dyDescent="0.2">
      <c r="A7" s="11">
        <v>44116</v>
      </c>
    </row>
    <row r="8" spans="1:1" x14ac:dyDescent="0.2">
      <c r="A8" s="11">
        <v>44146</v>
      </c>
    </row>
    <row r="9" spans="1:1" x14ac:dyDescent="0.2">
      <c r="A9" s="11">
        <v>44161</v>
      </c>
    </row>
    <row r="10" spans="1:1" x14ac:dyDescent="0.2">
      <c r="A10" s="11">
        <v>44190</v>
      </c>
    </row>
    <row r="11" spans="1:1" x14ac:dyDescent="0.2">
      <c r="A11" s="11">
        <v>44197</v>
      </c>
    </row>
    <row r="12" spans="1:1" x14ac:dyDescent="0.2">
      <c r="A12" s="11">
        <v>44214</v>
      </c>
    </row>
    <row r="13" spans="1:1" x14ac:dyDescent="0.2">
      <c r="A13" s="11">
        <v>44242</v>
      </c>
    </row>
    <row r="14" spans="1:1" x14ac:dyDescent="0.2">
      <c r="A14" s="11">
        <v>44347</v>
      </c>
    </row>
    <row r="15" spans="1:1" x14ac:dyDescent="0.2">
      <c r="A15" s="11">
        <v>44382</v>
      </c>
    </row>
    <row r="16" spans="1:1" x14ac:dyDescent="0.2">
      <c r="A16" s="11">
        <v>44445</v>
      </c>
    </row>
    <row r="17" spans="1:1" x14ac:dyDescent="0.2">
      <c r="A17" s="11">
        <v>44480</v>
      </c>
    </row>
    <row r="18" spans="1:1" x14ac:dyDescent="0.2">
      <c r="A18" s="11">
        <v>44511</v>
      </c>
    </row>
    <row r="19" spans="1:1" x14ac:dyDescent="0.2">
      <c r="A19" s="11">
        <v>44525</v>
      </c>
    </row>
    <row r="20" spans="1:1" x14ac:dyDescent="0.2">
      <c r="A20" s="11">
        <v>44554</v>
      </c>
    </row>
    <row r="21" spans="1:1" x14ac:dyDescent="0.2">
      <c r="A21" s="11">
        <v>44578</v>
      </c>
    </row>
    <row r="22" spans="1:1" x14ac:dyDescent="0.2">
      <c r="A22" s="11">
        <v>44613</v>
      </c>
    </row>
    <row r="23" spans="1:1" x14ac:dyDescent="0.2">
      <c r="A23" s="11">
        <v>44711</v>
      </c>
    </row>
    <row r="24" spans="1:1" x14ac:dyDescent="0.2">
      <c r="A24" s="11">
        <v>44732</v>
      </c>
    </row>
    <row r="25" spans="1:1" x14ac:dyDescent="0.2">
      <c r="A25" s="11">
        <v>44746</v>
      </c>
    </row>
    <row r="26" spans="1:1" x14ac:dyDescent="0.2">
      <c r="A26" s="11">
        <v>44809</v>
      </c>
    </row>
    <row r="27" spans="1:1" x14ac:dyDescent="0.2">
      <c r="A27" s="11">
        <v>44844</v>
      </c>
    </row>
    <row r="28" spans="1:1" x14ac:dyDescent="0.2">
      <c r="A28" s="11">
        <v>44876</v>
      </c>
    </row>
    <row r="29" spans="1:1" x14ac:dyDescent="0.2">
      <c r="A29" s="11">
        <v>44889</v>
      </c>
    </row>
    <row r="30" spans="1:1" x14ac:dyDescent="0.2">
      <c r="A30" s="11">
        <v>44921</v>
      </c>
    </row>
    <row r="31" spans="1:1" x14ac:dyDescent="0.2">
      <c r="A31" s="11">
        <v>44928</v>
      </c>
    </row>
    <row r="32" spans="1:1" x14ac:dyDescent="0.2">
      <c r="A32" s="11">
        <v>44942</v>
      </c>
    </row>
    <row r="33" spans="1:1" x14ac:dyDescent="0.2">
      <c r="A33" s="11">
        <v>44977</v>
      </c>
    </row>
    <row r="34" spans="1:1" x14ac:dyDescent="0.2">
      <c r="A34" s="11">
        <v>45075</v>
      </c>
    </row>
    <row r="35" spans="1:1" x14ac:dyDescent="0.2">
      <c r="A35" s="11">
        <v>45096</v>
      </c>
    </row>
    <row r="36" spans="1:1" x14ac:dyDescent="0.2">
      <c r="A36" s="11">
        <v>45111</v>
      </c>
    </row>
    <row r="37" spans="1:1" x14ac:dyDescent="0.2">
      <c r="A37" s="11">
        <v>45173</v>
      </c>
    </row>
    <row r="38" spans="1:1" x14ac:dyDescent="0.2">
      <c r="A38" s="11">
        <v>45208</v>
      </c>
    </row>
    <row r="39" spans="1:1" x14ac:dyDescent="0.2">
      <c r="A39" s="11">
        <v>45240</v>
      </c>
    </row>
    <row r="40" spans="1:1" x14ac:dyDescent="0.2">
      <c r="A40" s="11">
        <v>45253</v>
      </c>
    </row>
    <row r="41" spans="1:1" x14ac:dyDescent="0.2">
      <c r="A41" s="11">
        <v>45285</v>
      </c>
    </row>
    <row r="42" spans="1:1" x14ac:dyDescent="0.2">
      <c r="A42" s="11">
        <v>45292</v>
      </c>
    </row>
    <row r="43" spans="1:1" x14ac:dyDescent="0.2">
      <c r="A43" s="11">
        <v>45306</v>
      </c>
    </row>
    <row r="44" spans="1:1" x14ac:dyDescent="0.2">
      <c r="A44" s="11">
        <v>45341</v>
      </c>
    </row>
    <row r="45" spans="1:1" x14ac:dyDescent="0.2">
      <c r="A45" s="11">
        <v>45439</v>
      </c>
    </row>
    <row r="46" spans="1:1" x14ac:dyDescent="0.2">
      <c r="A46" s="11">
        <v>45462</v>
      </c>
    </row>
    <row r="47" spans="1:1" x14ac:dyDescent="0.2">
      <c r="A47" s="11">
        <v>45477</v>
      </c>
    </row>
    <row r="48" spans="1:1" x14ac:dyDescent="0.2">
      <c r="A48" s="11">
        <v>45537</v>
      </c>
    </row>
    <row r="49" spans="1:1" x14ac:dyDescent="0.2">
      <c r="A49" s="11">
        <v>45579</v>
      </c>
    </row>
    <row r="50" spans="1:1" x14ac:dyDescent="0.2">
      <c r="A50" s="11">
        <v>45607</v>
      </c>
    </row>
    <row r="51" spans="1:1" x14ac:dyDescent="0.2">
      <c r="A51" s="11">
        <v>45624</v>
      </c>
    </row>
    <row r="52" spans="1:1" x14ac:dyDescent="0.2">
      <c r="A52" s="11">
        <v>45651</v>
      </c>
    </row>
    <row r="53" spans="1:1" x14ac:dyDescent="0.2">
      <c r="A53" s="11">
        <v>45658</v>
      </c>
    </row>
    <row r="54" spans="1:1" x14ac:dyDescent="0.2">
      <c r="A54" s="11">
        <v>45677</v>
      </c>
    </row>
    <row r="55" spans="1:1" x14ac:dyDescent="0.2">
      <c r="A55" s="11">
        <v>45705</v>
      </c>
    </row>
    <row r="56" spans="1:1" x14ac:dyDescent="0.2">
      <c r="A56" s="11">
        <v>45803</v>
      </c>
    </row>
    <row r="57" spans="1:1" x14ac:dyDescent="0.2">
      <c r="A57" s="11">
        <v>45827</v>
      </c>
    </row>
    <row r="58" spans="1:1" x14ac:dyDescent="0.2">
      <c r="A58" s="11">
        <v>45842</v>
      </c>
    </row>
    <row r="59" spans="1:1" x14ac:dyDescent="0.2">
      <c r="A59" s="11">
        <v>45901</v>
      </c>
    </row>
    <row r="60" spans="1:1" x14ac:dyDescent="0.2">
      <c r="A60" s="11">
        <v>45943</v>
      </c>
    </row>
    <row r="61" spans="1:1" x14ac:dyDescent="0.2">
      <c r="A61" s="11">
        <v>45972</v>
      </c>
    </row>
    <row r="62" spans="1:1" x14ac:dyDescent="0.2">
      <c r="A62" s="11">
        <v>45988</v>
      </c>
    </row>
    <row r="63" spans="1:1" x14ac:dyDescent="0.2">
      <c r="A63" s="11">
        <v>46016</v>
      </c>
    </row>
    <row r="64" spans="1:1" x14ac:dyDescent="0.2">
      <c r="A64" s="11">
        <v>46023</v>
      </c>
    </row>
    <row r="65" spans="1:1" x14ac:dyDescent="0.2">
      <c r="A65" s="11">
        <v>46041</v>
      </c>
    </row>
    <row r="66" spans="1:1" x14ac:dyDescent="0.2">
      <c r="A66" s="11">
        <v>46069</v>
      </c>
    </row>
    <row r="67" spans="1:1" x14ac:dyDescent="0.2">
      <c r="A67" s="11">
        <v>46167</v>
      </c>
    </row>
    <row r="68" spans="1:1" x14ac:dyDescent="0.2">
      <c r="A68" s="11">
        <v>46192</v>
      </c>
    </row>
    <row r="69" spans="1:1" x14ac:dyDescent="0.2">
      <c r="A69" s="11">
        <v>46206</v>
      </c>
    </row>
    <row r="70" spans="1:1" x14ac:dyDescent="0.2">
      <c r="A70" s="11">
        <v>46272</v>
      </c>
    </row>
    <row r="71" spans="1:1" x14ac:dyDescent="0.2">
      <c r="A71" s="11">
        <v>46307</v>
      </c>
    </row>
    <row r="72" spans="1:1" x14ac:dyDescent="0.2">
      <c r="A72" s="11">
        <v>46337</v>
      </c>
    </row>
    <row r="73" spans="1:1" x14ac:dyDescent="0.2">
      <c r="A73" s="11">
        <v>46352</v>
      </c>
    </row>
    <row r="74" spans="1:1" x14ac:dyDescent="0.2">
      <c r="A74" s="11">
        <v>46381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Inputs</vt:lpstr>
      <vt:lpstr>SOFR-OIS</vt:lpstr>
      <vt:lpstr>SOFR3</vt:lpstr>
      <vt:lpstr>SOFRHist</vt:lpstr>
      <vt:lpstr>holidays_US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Quintero, Arnulf</dc:creator>
  <cp:lastModifiedBy>Quintero, Arnulf</cp:lastModifiedBy>
  <dcterms:created xsi:type="dcterms:W3CDTF">2026-02-17T19:55:40Z</dcterms:created>
  <dcterms:modified xsi:type="dcterms:W3CDTF">2026-02-24T18:44:55Z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60f8386-55a0-404e-9dce-4d5bc8b309d8_Enabled">
    <vt:lpwstr>true</vt:lpwstr>
  </property>
  <property fmtid="{D5CDD505-2E9C-101B-9397-08002B2CF9AE}" pid="3" name="MSIP_Label_b60f8386-55a0-404e-9dce-4d5bc8b309d8_SetDate">
    <vt:lpwstr>2026-02-18T20:59:04Z</vt:lpwstr>
  </property>
  <property fmtid="{D5CDD505-2E9C-101B-9397-08002B2CF9AE}" pid="4" name="MSIP_Label_b60f8386-55a0-404e-9dce-4d5bc8b309d8_Method">
    <vt:lpwstr>Standard</vt:lpwstr>
  </property>
  <property fmtid="{D5CDD505-2E9C-101B-9397-08002B2CF9AE}" pid="5" name="MSIP_Label_b60f8386-55a0-404e-9dce-4d5bc8b309d8_Name">
    <vt:lpwstr>b60f8386-55a0-404e-9dce-4d5bc8b309d8</vt:lpwstr>
  </property>
  <property fmtid="{D5CDD505-2E9C-101B-9397-08002B2CF9AE}" pid="6" name="MSIP_Label_b60f8386-55a0-404e-9dce-4d5bc8b309d8_SiteId">
    <vt:lpwstr>7a9376d4-7c43-480f-82ba-a090647f651d</vt:lpwstr>
  </property>
  <property fmtid="{D5CDD505-2E9C-101B-9397-08002B2CF9AE}" pid="7" name="MSIP_Label_b60f8386-55a0-404e-9dce-4d5bc8b309d8_ActionId">
    <vt:lpwstr>6a59dcca-e10f-4a77-8fbe-09663f6027f2</vt:lpwstr>
  </property>
  <property fmtid="{D5CDD505-2E9C-101B-9397-08002B2CF9AE}" pid="8" name="MSIP_Label_b60f8386-55a0-404e-9dce-4d5bc8b309d8_ContentBits">
    <vt:lpwstr>2</vt:lpwstr>
  </property>
  <property fmtid="{D5CDD505-2E9C-101B-9397-08002B2CF9AE}" pid="9" name="MSIP_Label_b60f8386-55a0-404e-9dce-4d5bc8b309d8_Tag">
    <vt:lpwstr>10, 3, 0, 1</vt:lpwstr>
  </property>
</Properties>
</file>